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Allied Industries — Statement of Values</t>
        </is>
      </c>
    </row>
    <row r="2">
      <c r="A2" s="2" t="inlineStr">
        <is>
          <t>Values as of 2025-09-18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Allied Dallas Facility</t>
        </is>
      </c>
      <c r="C6" t="inlineStr">
        <is>
          <t>6826 Quarry Rd</t>
        </is>
      </c>
      <c r="D6" t="inlineStr">
        <is>
          <t>Dallas</t>
        </is>
      </c>
      <c r="E6" t="inlineStr">
        <is>
          <t>TX</t>
        </is>
      </c>
      <c r="F6" t="inlineStr">
        <is>
          <t>75001</t>
        </is>
      </c>
      <c r="G6" t="inlineStr">
        <is>
          <t>Manufacturing</t>
        </is>
      </c>
      <c r="H6" t="inlineStr">
        <is>
          <t>Non-combustible</t>
        </is>
      </c>
      <c r="I6" t="n">
        <v>1982</v>
      </c>
      <c r="J6" t="n">
        <v>1</v>
      </c>
      <c r="K6" s="6" t="n">
        <v>193497</v>
      </c>
      <c r="L6" t="n">
        <v>2013</v>
      </c>
      <c r="M6" t="n">
        <v>60</v>
      </c>
      <c r="N6" s="6" t="n">
        <v>37025000</v>
      </c>
      <c r="O6" s="6" t="n">
        <v>14531000</v>
      </c>
      <c r="P6" s="6" t="n">
        <v>3497000</v>
      </c>
      <c r="Q6" s="6" t="n">
        <v>4664000</v>
      </c>
      <c r="R6" s="6" t="n">
        <v>59717000</v>
      </c>
    </row>
    <row r="7">
      <c r="A7" t="inlineStr">
        <is>
          <t>2</t>
        </is>
      </c>
      <c r="B7" t="inlineStr">
        <is>
          <t>Allied Austin Building</t>
        </is>
      </c>
      <c r="C7" t="inlineStr">
        <is>
          <t>3690 Ironworks Rd</t>
        </is>
      </c>
      <c r="D7" t="inlineStr">
        <is>
          <t>Austin</t>
        </is>
      </c>
      <c r="E7" t="inlineStr">
        <is>
          <t>TX</t>
        </is>
      </c>
      <c r="F7" t="inlineStr">
        <is>
          <t>75021</t>
        </is>
      </c>
      <c r="G7" t="inlineStr">
        <is>
          <t>Manufacturing</t>
        </is>
      </c>
      <c r="H7" t="inlineStr">
        <is>
          <t>Modified fire resistive</t>
        </is>
      </c>
      <c r="I7" t="n">
        <v>2010</v>
      </c>
      <c r="J7" t="n">
        <v>1</v>
      </c>
      <c r="K7" s="6" t="n">
        <v>461186</v>
      </c>
      <c r="L7" t="n">
        <v>2013</v>
      </c>
      <c r="M7" t="n">
        <v>100</v>
      </c>
      <c r="N7" s="6" t="n">
        <v>43449000</v>
      </c>
      <c r="O7" s="6" t="n">
        <v>18378000</v>
      </c>
      <c r="P7" s="6" t="n">
        <v>4064000</v>
      </c>
      <c r="Q7" s="6" t="n">
        <v>5179000</v>
      </c>
      <c r="R7" s="6" t="n">
        <v>71070000</v>
      </c>
    </row>
    <row r="8">
      <c r="A8" t="inlineStr">
        <is>
          <t>3</t>
        </is>
      </c>
      <c r="B8" t="inlineStr">
        <is>
          <t>Allied Philadelphia Site</t>
        </is>
      </c>
      <c r="C8" t="inlineStr">
        <is>
          <t>9377 Palisade Ave</t>
        </is>
      </c>
      <c r="D8" t="inlineStr">
        <is>
          <t>Philadelphia</t>
        </is>
      </c>
      <c r="E8" t="inlineStr">
        <is>
          <t>PA</t>
        </is>
      </c>
      <c r="F8" t="inlineStr">
        <is>
          <t>15292</t>
        </is>
      </c>
      <c r="G8" t="inlineStr">
        <is>
          <t>Manufacturing</t>
        </is>
      </c>
      <c r="H8" t="inlineStr">
        <is>
          <t>Joisted masonry</t>
        </is>
      </c>
      <c r="I8" t="n">
        <v>1989</v>
      </c>
      <c r="J8" t="n">
        <v>1</v>
      </c>
      <c r="K8" s="6" t="n">
        <v>157838</v>
      </c>
      <c r="L8" t="n">
        <v>2017</v>
      </c>
      <c r="M8" t="n">
        <v>100</v>
      </c>
      <c r="N8" s="6" t="n">
        <v>37421000</v>
      </c>
      <c r="O8" s="6" t="n">
        <v>13510000</v>
      </c>
      <c r="P8" s="6" t="n">
        <v>3305000</v>
      </c>
      <c r="Q8" s="6" t="n">
        <v>4026000</v>
      </c>
      <c r="R8" s="6" t="n">
        <v>58262000</v>
      </c>
    </row>
    <row r="9">
      <c r="A9" t="inlineStr">
        <is>
          <t>4</t>
        </is>
      </c>
      <c r="B9" t="inlineStr">
        <is>
          <t>Allied Reno Facility</t>
        </is>
      </c>
      <c r="C9" t="inlineStr">
        <is>
          <t>7725 Cypress Ridge Blvd</t>
        </is>
      </c>
      <c r="D9" t="inlineStr">
        <is>
          <t>Reno</t>
        </is>
      </c>
      <c r="E9" t="inlineStr">
        <is>
          <t>NV</t>
        </is>
      </c>
      <c r="F9" t="inlineStr">
        <is>
          <t>89579</t>
        </is>
      </c>
      <c r="G9" t="inlineStr">
        <is>
          <t>Manufacturing</t>
        </is>
      </c>
      <c r="H9" t="inlineStr">
        <is>
          <t>Joisted masonry</t>
        </is>
      </c>
      <c r="I9" t="n">
        <v>2018</v>
      </c>
      <c r="J9" t="n">
        <v>3</v>
      </c>
      <c r="K9" s="6" t="n">
        <v>53521</v>
      </c>
      <c r="L9" t="n">
        <v>2019</v>
      </c>
      <c r="M9" t="n">
        <v>60</v>
      </c>
      <c r="N9" s="6" t="n">
        <v>11988000</v>
      </c>
      <c r="O9" s="6" t="n">
        <v>4292000</v>
      </c>
      <c r="P9" s="6" t="n">
        <v>1127000</v>
      </c>
      <c r="Q9" s="6" t="n">
        <v>1207000</v>
      </c>
      <c r="R9" s="6" t="n">
        <v>18614000</v>
      </c>
    </row>
    <row r="10">
      <c r="A10" t="inlineStr">
        <is>
          <t>5</t>
        </is>
      </c>
      <c r="B10" t="inlineStr">
        <is>
          <t>Allied Oakland Building</t>
        </is>
      </c>
      <c r="C10" t="inlineStr">
        <is>
          <t>1800 Commerce Loop</t>
        </is>
      </c>
      <c r="D10" t="inlineStr">
        <is>
          <t>Oakland</t>
        </is>
      </c>
      <c r="E10" t="inlineStr">
        <is>
          <t>CA</t>
        </is>
      </c>
      <c r="F10" t="inlineStr">
        <is>
          <t>92686</t>
        </is>
      </c>
      <c r="G10" t="inlineStr">
        <is>
          <t>Manufacturing</t>
        </is>
      </c>
      <c r="H10" t="inlineStr">
        <is>
          <t>Modified fire resistive</t>
        </is>
      </c>
      <c r="I10" t="n">
        <v>2000</v>
      </c>
      <c r="J10" t="n">
        <v>2</v>
      </c>
      <c r="K10" s="6" t="n">
        <v>201753</v>
      </c>
      <c r="L10" t="n">
        <v>2010</v>
      </c>
      <c r="M10" t="n">
        <v>60</v>
      </c>
      <c r="N10" s="6" t="n">
        <v>28748000</v>
      </c>
      <c r="O10" s="6" t="n">
        <v>12027000</v>
      </c>
      <c r="P10" s="6" t="n">
        <v>2724000</v>
      </c>
      <c r="Q10" s="6" t="n">
        <v>3240000</v>
      </c>
      <c r="R10" s="6" t="n">
        <v>46739000</v>
      </c>
    </row>
    <row r="11">
      <c r="A11" t="inlineStr">
        <is>
          <t>6</t>
        </is>
      </c>
      <c r="B11" t="inlineStr">
        <is>
          <t>Allied Charlotte Site</t>
        </is>
      </c>
      <c r="C11" t="inlineStr">
        <is>
          <t>2563 Cypress Ridge Blvd</t>
        </is>
      </c>
      <c r="D11" t="inlineStr">
        <is>
          <t>Charlotte</t>
        </is>
      </c>
      <c r="E11" t="inlineStr">
        <is>
          <t>NC</t>
        </is>
      </c>
      <c r="F11" t="inlineStr">
        <is>
          <t>28439</t>
        </is>
      </c>
      <c r="G11" t="inlineStr">
        <is>
          <t>Manufacturing</t>
        </is>
      </c>
      <c r="H11" t="inlineStr">
        <is>
          <t>Non-combustible</t>
        </is>
      </c>
      <c r="I11" t="n">
        <v>1993</v>
      </c>
      <c r="J11" t="n">
        <v>3</v>
      </c>
      <c r="K11" s="6" t="n">
        <v>212575</v>
      </c>
      <c r="L11" t="n">
        <v>2000</v>
      </c>
      <c r="M11" t="n">
        <v>100</v>
      </c>
      <c r="N11" s="6" t="n">
        <v>22290000</v>
      </c>
      <c r="O11" s="6" t="n">
        <v>7906000</v>
      </c>
      <c r="P11" s="6" t="n">
        <v>2019000</v>
      </c>
      <c r="Q11" s="6" t="n">
        <v>2465000</v>
      </c>
      <c r="R11" s="6" t="n">
        <v>34680000</v>
      </c>
    </row>
    <row r="12">
      <c r="A12" t="inlineStr">
        <is>
          <t>7</t>
        </is>
      </c>
      <c r="B12" t="inlineStr">
        <is>
          <t>Allied Reno Facility</t>
        </is>
      </c>
      <c r="C12" t="inlineStr">
        <is>
          <t>6089 Commerce Loop</t>
        </is>
      </c>
      <c r="D12" t="inlineStr">
        <is>
          <t>Reno</t>
        </is>
      </c>
      <c r="E12" t="inlineStr">
        <is>
          <t>NV</t>
        </is>
      </c>
      <c r="F12" t="inlineStr">
        <is>
          <t>89595</t>
        </is>
      </c>
      <c r="G12" t="inlineStr">
        <is>
          <t>Manufacturing</t>
        </is>
      </c>
      <c r="H12" t="inlineStr">
        <is>
          <t>Masonry non-combustible</t>
        </is>
      </c>
      <c r="I12" t="n">
        <v>1977</v>
      </c>
      <c r="J12" t="n">
        <v>1</v>
      </c>
      <c r="K12" s="6" t="n">
        <v>235209</v>
      </c>
      <c r="L12" t="n">
        <v>2021</v>
      </c>
      <c r="M12" t="n">
        <v>0</v>
      </c>
      <c r="N12" s="6" t="n">
        <v>25449000</v>
      </c>
      <c r="O12" s="6" t="n">
        <v>10234000</v>
      </c>
      <c r="P12" s="6" t="n">
        <v>2317000</v>
      </c>
      <c r="Q12" s="6" t="n">
        <v>2899000</v>
      </c>
      <c r="R12" s="6" t="n">
        <v>40899000</v>
      </c>
    </row>
    <row r="13">
      <c r="A13" t="inlineStr">
        <is>
          <t>8</t>
        </is>
      </c>
      <c r="B13" t="inlineStr">
        <is>
          <t>Allied Denver Building</t>
        </is>
      </c>
      <c r="C13" t="inlineStr">
        <is>
          <t>5178 Kestrel Dr</t>
        </is>
      </c>
      <c r="D13" t="inlineStr">
        <is>
          <t>Denver</t>
        </is>
      </c>
      <c r="E13" t="inlineStr">
        <is>
          <t>CO</t>
        </is>
      </c>
      <c r="F13" t="inlineStr">
        <is>
          <t>80204</t>
        </is>
      </c>
      <c r="G13" t="inlineStr">
        <is>
          <t>Manufacturing</t>
        </is>
      </c>
      <c r="H13" t="inlineStr">
        <is>
          <t>Joisted masonry</t>
        </is>
      </c>
      <c r="I13" t="n">
        <v>2000</v>
      </c>
      <c r="J13" t="n">
        <v>3</v>
      </c>
      <c r="K13" s="6" t="n">
        <v>187253</v>
      </c>
      <c r="L13" t="n">
        <v>2004</v>
      </c>
      <c r="M13" t="n">
        <v>60</v>
      </c>
      <c r="N13" s="6" t="n">
        <v>29179000</v>
      </c>
      <c r="O13" s="6" t="n">
        <v>12137000</v>
      </c>
      <c r="P13" s="6" t="n">
        <v>2896000</v>
      </c>
      <c r="Q13" s="6" t="n">
        <v>3474000</v>
      </c>
      <c r="R13" s="6" t="n">
        <v>47686000</v>
      </c>
    </row>
    <row r="14">
      <c r="A14" t="inlineStr">
        <is>
          <t>9</t>
        </is>
      </c>
      <c r="B14" t="inlineStr">
        <is>
          <t>Allied Sparks Site</t>
        </is>
      </c>
      <c r="C14" t="inlineStr">
        <is>
          <t>565 Railyard Rd</t>
        </is>
      </c>
      <c r="D14" t="inlineStr">
        <is>
          <t>Sparks</t>
        </is>
      </c>
      <c r="E14" t="inlineStr">
        <is>
          <t>NV</t>
        </is>
      </c>
      <c r="F14" t="inlineStr">
        <is>
          <t>89509</t>
        </is>
      </c>
      <c r="G14" t="inlineStr">
        <is>
          <t>Manufacturing</t>
        </is>
      </c>
      <c r="H14" t="inlineStr">
        <is>
          <t>Fire resistive</t>
        </is>
      </c>
      <c r="I14" t="n">
        <v>1992</v>
      </c>
      <c r="J14" t="n">
        <v>1</v>
      </c>
      <c r="K14" s="6" t="n">
        <v>59018</v>
      </c>
      <c r="L14" t="n">
        <v>1998</v>
      </c>
      <c r="M14" t="n">
        <v>0</v>
      </c>
      <c r="N14" s="6" t="n">
        <v>11762000</v>
      </c>
      <c r="O14" s="6" t="n">
        <v>5307000</v>
      </c>
      <c r="P14" s="6" t="n">
        <v>1203000</v>
      </c>
      <c r="Q14" s="6" t="n">
        <v>1493000</v>
      </c>
      <c r="R14" s="6" t="n">
        <v>19765000</v>
      </c>
    </row>
    <row r="15">
      <c r="A15" t="inlineStr">
        <is>
          <t>10</t>
        </is>
      </c>
      <c r="B15" t="inlineStr">
        <is>
          <t>Allied Sparks Facility</t>
        </is>
      </c>
      <c r="C15" t="inlineStr">
        <is>
          <t>8934 Cypress Ridge Blvd</t>
        </is>
      </c>
      <c r="D15" t="inlineStr">
        <is>
          <t>Sparks</t>
        </is>
      </c>
      <c r="E15" t="inlineStr">
        <is>
          <t>NV</t>
        </is>
      </c>
      <c r="F15" t="inlineStr">
        <is>
          <t>89591</t>
        </is>
      </c>
      <c r="G15" t="inlineStr">
        <is>
          <t>Manufacturing</t>
        </is>
      </c>
      <c r="H15" t="inlineStr">
        <is>
          <t>Masonry non-combustible</t>
        </is>
      </c>
      <c r="I15" t="n">
        <v>1985</v>
      </c>
      <c r="J15" t="n">
        <v>2</v>
      </c>
      <c r="K15" s="6" t="n">
        <v>82760</v>
      </c>
      <c r="L15" t="n">
        <v>2015</v>
      </c>
      <c r="M15" t="n">
        <v>100</v>
      </c>
      <c r="N15" s="6" t="n">
        <v>17642000</v>
      </c>
      <c r="O15" s="6" t="n">
        <v>6831000</v>
      </c>
      <c r="P15" s="6" t="n">
        <v>1651000</v>
      </c>
      <c r="Q15" s="6" t="n">
        <v>2055000</v>
      </c>
      <c r="R15" s="6" t="n">
        <v>28179000</v>
      </c>
    </row>
    <row r="16">
      <c r="A16" t="inlineStr">
        <is>
          <t>11</t>
        </is>
      </c>
      <c r="B16" t="inlineStr">
        <is>
          <t>Allied Fort Worth Building</t>
        </is>
      </c>
      <c r="C16" t="inlineStr">
        <is>
          <t>4456 Ashford Cir</t>
        </is>
      </c>
      <c r="D16" t="inlineStr">
        <is>
          <t>Fort Worth</t>
        </is>
      </c>
      <c r="E16" t="inlineStr">
        <is>
          <t>TX</t>
        </is>
      </c>
      <c r="F16" t="inlineStr">
        <is>
          <t>75032</t>
        </is>
      </c>
      <c r="G16" t="inlineStr">
        <is>
          <t>Manufacturing</t>
        </is>
      </c>
      <c r="H16" t="inlineStr">
        <is>
          <t>Joisted masonry</t>
        </is>
      </c>
      <c r="I16" t="n">
        <v>1982</v>
      </c>
      <c r="J16" t="n">
        <v>1</v>
      </c>
      <c r="K16" s="6" t="n">
        <v>241764</v>
      </c>
      <c r="L16" t="n">
        <v>2002</v>
      </c>
      <c r="M16" t="n">
        <v>0</v>
      </c>
      <c r="N16" s="6" t="n">
        <v>24719000</v>
      </c>
      <c r="O16" s="6" t="n">
        <v>10724000</v>
      </c>
      <c r="P16" s="6" t="n">
        <v>2654000</v>
      </c>
      <c r="Q16" s="6" t="n">
        <v>2791000</v>
      </c>
      <c r="R16" s="6" t="n">
        <v>40888000</v>
      </c>
    </row>
    <row r="17">
      <c r="A17" t="inlineStr">
        <is>
          <t>12</t>
        </is>
      </c>
      <c r="B17" t="inlineStr">
        <is>
          <t>Allied Detroit Site</t>
        </is>
      </c>
      <c r="C17" t="inlineStr">
        <is>
          <t>3790 Granite Ct</t>
        </is>
      </c>
      <c r="D17" t="inlineStr">
        <is>
          <t>Detroit</t>
        </is>
      </c>
      <c r="E17" t="inlineStr">
        <is>
          <t>MI</t>
        </is>
      </c>
      <c r="F17" t="inlineStr">
        <is>
          <t>48219</t>
        </is>
      </c>
      <c r="G17" t="inlineStr">
        <is>
          <t>Manufacturing</t>
        </is>
      </c>
      <c r="H17" t="inlineStr">
        <is>
          <t>Non-combustible</t>
        </is>
      </c>
      <c r="I17" t="n">
        <v>1969</v>
      </c>
      <c r="J17" t="n">
        <v>1</v>
      </c>
      <c r="K17" s="6" t="n">
        <v>179767</v>
      </c>
      <c r="L17" t="n">
        <v>2005</v>
      </c>
      <c r="M17" t="n">
        <v>100</v>
      </c>
      <c r="N17" s="6" t="n">
        <v>23221000</v>
      </c>
      <c r="O17" s="6" t="n">
        <v>9805000</v>
      </c>
      <c r="P17" s="6" t="n">
        <v>2214000</v>
      </c>
      <c r="Q17" s="6" t="n">
        <v>2499000</v>
      </c>
      <c r="R17" s="6" t="n">
        <v>37739000</v>
      </c>
    </row>
    <row r="18">
      <c r="A18" s="7" t="inlineStr">
        <is>
          <t>TOTAL</t>
        </is>
      </c>
      <c r="N18" s="8">
        <f>SUM(N6:N17)</f>
        <v/>
      </c>
      <c r="O18" s="8">
        <f>SUM(O6:O17)</f>
        <v/>
      </c>
      <c r="P18" s="8">
        <f>SUM(P6:P17)</f>
        <v/>
      </c>
      <c r="Q18" s="8">
        <f>SUM(Q6:Q17)</f>
        <v/>
      </c>
      <c r="R18" s="8">
        <f>SUM(R6:R17)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