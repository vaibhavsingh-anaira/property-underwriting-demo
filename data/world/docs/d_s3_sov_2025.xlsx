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Lumen Jewelers — Statement of Values</t>
        </is>
      </c>
    </row>
    <row r="2">
      <c r="A2" s="2" t="inlineStr">
        <is>
          <t>Values as of 2025-08-07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Lumen Miami</t>
        </is>
      </c>
      <c r="D6" t="inlineStr">
        <is>
          <t>4660 Quarry Rd</t>
        </is>
      </c>
      <c r="E6" t="inlineStr">
        <is>
          <t>Miami</t>
        </is>
      </c>
      <c r="F6" t="inlineStr">
        <is>
          <t>FL</t>
        </is>
      </c>
      <c r="G6" t="inlineStr">
        <is>
          <t>33610</t>
        </is>
      </c>
      <c r="H6" t="inlineStr">
        <is>
          <t>Jewelry store</t>
        </is>
      </c>
      <c r="I6" t="inlineStr">
        <is>
          <t>Joisted masonry</t>
        </is>
      </c>
      <c r="J6" t="n">
        <v>2005</v>
      </c>
      <c r="K6" t="n">
        <v>1</v>
      </c>
      <c r="L6" s="6" t="n">
        <v>3871</v>
      </c>
      <c r="M6" t="n">
        <v>2013</v>
      </c>
      <c r="N6" t="inlineStr">
        <is>
          <t>None</t>
        </is>
      </c>
      <c r="O6" s="6" t="n">
        <v>1214000</v>
      </c>
      <c r="P6" s="6" t="n">
        <v>425000</v>
      </c>
      <c r="Q6" s="6" t="n">
        <v>3880000</v>
      </c>
      <c r="R6" s="6" t="n">
        <v>310000</v>
      </c>
      <c r="S6" s="6" t="n">
        <v>5829000</v>
      </c>
    </row>
    <row r="7">
      <c r="A7" t="inlineStr">
        <is>
          <t>2</t>
        </is>
      </c>
      <c r="B7" t="n">
        <v>1</v>
      </c>
      <c r="C7" t="inlineStr">
        <is>
          <t>Lumen Fort Lauderdale</t>
        </is>
      </c>
      <c r="D7" t="inlineStr">
        <is>
          <t>1881 Summit Ave</t>
        </is>
      </c>
      <c r="E7" t="inlineStr">
        <is>
          <t>Fort Lauderdale</t>
        </is>
      </c>
      <c r="F7" t="inlineStr">
        <is>
          <t>FL</t>
        </is>
      </c>
      <c r="G7" t="inlineStr">
        <is>
          <t>33655</t>
        </is>
      </c>
      <c r="H7" t="inlineStr">
        <is>
          <t>Jewelry store</t>
        </is>
      </c>
      <c r="I7" t="inlineStr">
        <is>
          <t>Joisted masonry</t>
        </is>
      </c>
      <c r="J7" t="n">
        <v>1996</v>
      </c>
      <c r="K7" t="n">
        <v>1</v>
      </c>
      <c r="L7" s="6" t="n">
        <v>4790</v>
      </c>
      <c r="M7" t="n">
        <v>2021</v>
      </c>
      <c r="N7" t="inlineStr">
        <is>
          <t>None</t>
        </is>
      </c>
      <c r="O7" s="6" t="n">
        <v>1666000</v>
      </c>
      <c r="P7" s="6" t="n">
        <v>583000</v>
      </c>
      <c r="Q7" s="6" t="n">
        <v>2286000</v>
      </c>
      <c r="R7" s="6" t="n">
        <v>183000</v>
      </c>
      <c r="S7" s="6" t="n">
        <v>4718000</v>
      </c>
    </row>
    <row r="8">
      <c r="A8" t="inlineStr">
        <is>
          <t>3</t>
        </is>
      </c>
      <c r="B8" t="n">
        <v>1</v>
      </c>
      <c r="C8" t="inlineStr">
        <is>
          <t>Lumen Tampa</t>
        </is>
      </c>
      <c r="D8" t="inlineStr">
        <is>
          <t>2772 Heron Bay Dr</t>
        </is>
      </c>
      <c r="E8" t="inlineStr">
        <is>
          <t>Tampa</t>
        </is>
      </c>
      <c r="F8" t="inlineStr">
        <is>
          <t>FL</t>
        </is>
      </c>
      <c r="G8" t="inlineStr">
        <is>
          <t>33692</t>
        </is>
      </c>
      <c r="H8" t="inlineStr">
        <is>
          <t>Jewelry store</t>
        </is>
      </c>
      <c r="I8" t="inlineStr">
        <is>
          <t>Joisted masonry</t>
        </is>
      </c>
      <c r="J8" t="n">
        <v>2009</v>
      </c>
      <c r="K8" t="n">
        <v>1</v>
      </c>
      <c r="L8" s="6" t="n">
        <v>2900</v>
      </c>
      <c r="M8" t="n">
        <v>2013</v>
      </c>
      <c r="N8" t="inlineStr">
        <is>
          <t>None</t>
        </is>
      </c>
      <c r="O8" s="6" t="n">
        <v>2082000</v>
      </c>
      <c r="P8" s="6" t="n">
        <v>729000</v>
      </c>
      <c r="Q8" s="6" t="n">
        <v>3077000</v>
      </c>
      <c r="R8" s="6" t="n">
        <v>246000</v>
      </c>
      <c r="S8" s="6" t="n">
        <v>6134000</v>
      </c>
    </row>
    <row r="9">
      <c r="A9" t="inlineStr">
        <is>
          <t>4</t>
        </is>
      </c>
      <c r="B9" t="n">
        <v>1</v>
      </c>
      <c r="C9" t="inlineStr">
        <is>
          <t>Lumen Atlanta</t>
        </is>
      </c>
      <c r="D9" t="inlineStr">
        <is>
          <t>8193 Commerce Loop</t>
        </is>
      </c>
      <c r="E9" t="inlineStr">
        <is>
          <t>Atlanta</t>
        </is>
      </c>
      <c r="F9" t="inlineStr">
        <is>
          <t>GA</t>
        </is>
      </c>
      <c r="G9" t="inlineStr">
        <is>
          <t>30352</t>
        </is>
      </c>
      <c r="H9" t="inlineStr">
        <is>
          <t>Jewelry store</t>
        </is>
      </c>
      <c r="I9" t="inlineStr">
        <is>
          <t>Joisted masonry</t>
        </is>
      </c>
      <c r="J9" t="n">
        <v>2011</v>
      </c>
      <c r="K9" t="n">
        <v>1</v>
      </c>
      <c r="L9" s="6" t="n">
        <v>5183</v>
      </c>
      <c r="M9" t="n">
        <v>2015</v>
      </c>
      <c r="N9" t="inlineStr">
        <is>
          <t>None</t>
        </is>
      </c>
      <c r="O9" s="6" t="n">
        <v>1919000</v>
      </c>
      <c r="P9" s="6" t="n">
        <v>672000</v>
      </c>
      <c r="Q9" s="6" t="n">
        <v>3652000</v>
      </c>
      <c r="R9" s="6" t="n">
        <v>292000</v>
      </c>
      <c r="S9" s="6" t="n">
        <v>6535000</v>
      </c>
    </row>
    <row r="10">
      <c r="A10" t="inlineStr">
        <is>
          <t>5</t>
        </is>
      </c>
      <c r="B10" t="n">
        <v>1</v>
      </c>
      <c r="C10" t="inlineStr">
        <is>
          <t>Lumen Dallas</t>
        </is>
      </c>
      <c r="D10" t="inlineStr">
        <is>
          <t>6920 Orchard Park Dr</t>
        </is>
      </c>
      <c r="E10" t="inlineStr">
        <is>
          <t>Dallas</t>
        </is>
      </c>
      <c r="F10" t="inlineStr">
        <is>
          <t>TX</t>
        </is>
      </c>
      <c r="G10" t="inlineStr">
        <is>
          <t>75002</t>
        </is>
      </c>
      <c r="H10" t="inlineStr">
        <is>
          <t>Jewelry store</t>
        </is>
      </c>
      <c r="I10" t="inlineStr">
        <is>
          <t>Joisted masonry</t>
        </is>
      </c>
      <c r="J10" t="n">
        <v>2002</v>
      </c>
      <c r="K10" t="n">
        <v>1</v>
      </c>
      <c r="L10" s="6" t="n">
        <v>4534</v>
      </c>
      <c r="M10" t="n">
        <v>2020</v>
      </c>
      <c r="N10" t="inlineStr">
        <is>
          <t>None</t>
        </is>
      </c>
      <c r="O10" s="6" t="n">
        <v>1402000</v>
      </c>
      <c r="P10" s="6" t="n">
        <v>491000</v>
      </c>
      <c r="Q10" s="6" t="n">
        <v>3670000</v>
      </c>
      <c r="R10" s="6" t="n">
        <v>294000</v>
      </c>
      <c r="S10" s="6" t="n">
        <v>5857000</v>
      </c>
    </row>
    <row r="11">
      <c r="A11" t="inlineStr">
        <is>
          <t>6</t>
        </is>
      </c>
      <c r="B11" t="n">
        <v>1</v>
      </c>
      <c r="C11" t="inlineStr">
        <is>
          <t>Lumen Houston</t>
        </is>
      </c>
      <c r="D11" t="inlineStr">
        <is>
          <t>6225 Keystone Ave</t>
        </is>
      </c>
      <c r="E11" t="inlineStr">
        <is>
          <t>Houston</t>
        </is>
      </c>
      <c r="F11" t="inlineStr">
        <is>
          <t>TX</t>
        </is>
      </c>
      <c r="G11" t="inlineStr">
        <is>
          <t>75090</t>
        </is>
      </c>
      <c r="H11" t="inlineStr">
        <is>
          <t>Jewelry store</t>
        </is>
      </c>
      <c r="I11" t="inlineStr">
        <is>
          <t>Joisted masonry</t>
        </is>
      </c>
      <c r="J11" t="n">
        <v>2007</v>
      </c>
      <c r="K11" t="n">
        <v>1</v>
      </c>
      <c r="L11" s="6" t="n">
        <v>2941</v>
      </c>
      <c r="M11" t="n">
        <v>2020</v>
      </c>
      <c r="N11" t="inlineStr">
        <is>
          <t>None</t>
        </is>
      </c>
      <c r="O11" s="6" t="n">
        <v>1524000</v>
      </c>
      <c r="P11" s="6" t="n">
        <v>533000</v>
      </c>
      <c r="Q11" s="6" t="n">
        <v>1971000</v>
      </c>
      <c r="R11" s="6" t="n">
        <v>158000</v>
      </c>
      <c r="S11" s="6" t="n">
        <v>4186000</v>
      </c>
    </row>
    <row r="12">
      <c r="A12" t="inlineStr">
        <is>
          <t>7</t>
        </is>
      </c>
      <c r="B12" t="n">
        <v>1</v>
      </c>
      <c r="C12" t="inlineStr">
        <is>
          <t>Lumen Austin</t>
        </is>
      </c>
      <c r="D12" t="inlineStr">
        <is>
          <t>3363 Heron Bay Dr</t>
        </is>
      </c>
      <c r="E12" t="inlineStr">
        <is>
          <t>Austin</t>
        </is>
      </c>
      <c r="F12" t="inlineStr">
        <is>
          <t>TX</t>
        </is>
      </c>
      <c r="G12" t="inlineStr">
        <is>
          <t>75068</t>
        </is>
      </c>
      <c r="H12" t="inlineStr">
        <is>
          <t>Jewelry store</t>
        </is>
      </c>
      <c r="I12" t="inlineStr">
        <is>
          <t>Joisted masonry</t>
        </is>
      </c>
      <c r="J12" t="n">
        <v>2010</v>
      </c>
      <c r="K12" t="n">
        <v>1</v>
      </c>
      <c r="L12" s="6" t="n">
        <v>3376</v>
      </c>
      <c r="M12" t="n">
        <v>2020</v>
      </c>
      <c r="N12" t="inlineStr">
        <is>
          <t>None</t>
        </is>
      </c>
      <c r="O12" s="6" t="n">
        <v>1043000</v>
      </c>
      <c r="P12" s="6" t="n">
        <v>365000</v>
      </c>
      <c r="Q12" s="6" t="n">
        <v>3395000</v>
      </c>
      <c r="R12" s="6" t="n">
        <v>272000</v>
      </c>
      <c r="S12" s="6" t="n">
        <v>5075000</v>
      </c>
    </row>
    <row r="13">
      <c r="A13" t="inlineStr">
        <is>
          <t>8</t>
        </is>
      </c>
      <c r="B13" t="n">
        <v>1</v>
      </c>
      <c r="C13" t="inlineStr">
        <is>
          <t>Lumen Nashville</t>
        </is>
      </c>
      <c r="D13" t="inlineStr">
        <is>
          <t>4047 Tidewater Ln</t>
        </is>
      </c>
      <c r="E13" t="inlineStr">
        <is>
          <t>Nashville</t>
        </is>
      </c>
      <c r="F13" t="inlineStr">
        <is>
          <t>TN</t>
        </is>
      </c>
      <c r="G13" t="inlineStr">
        <is>
          <t>37298</t>
        </is>
      </c>
      <c r="H13" t="inlineStr">
        <is>
          <t>Jewelry store</t>
        </is>
      </c>
      <c r="I13" t="inlineStr">
        <is>
          <t>Joisted masonry</t>
        </is>
      </c>
      <c r="J13" t="n">
        <v>2002</v>
      </c>
      <c r="K13" t="n">
        <v>1</v>
      </c>
      <c r="L13" s="6" t="n">
        <v>4833</v>
      </c>
      <c r="M13" t="n">
        <v>2020</v>
      </c>
      <c r="N13" t="inlineStr">
        <is>
          <t>None</t>
        </is>
      </c>
      <c r="O13" s="6" t="n">
        <v>1231000</v>
      </c>
      <c r="P13" s="6" t="n">
        <v>431000</v>
      </c>
      <c r="Q13" s="6" t="n">
        <v>2892000</v>
      </c>
      <c r="R13" s="6" t="n">
        <v>231000</v>
      </c>
      <c r="S13" s="6" t="n">
        <v>4785000</v>
      </c>
    </row>
    <row r="14">
      <c r="A14" t="inlineStr">
        <is>
          <t>9</t>
        </is>
      </c>
      <c r="B14" t="n">
        <v>1</v>
      </c>
      <c r="C14" t="inlineStr">
        <is>
          <t>Lumen Charlotte</t>
        </is>
      </c>
      <c r="D14" t="inlineStr">
        <is>
          <t>693 Granite Ct</t>
        </is>
      </c>
      <c r="E14" t="inlineStr">
        <is>
          <t>Charlotte</t>
        </is>
      </c>
      <c r="F14" t="inlineStr">
        <is>
          <t>NC</t>
        </is>
      </c>
      <c r="G14" t="inlineStr">
        <is>
          <t>28432</t>
        </is>
      </c>
      <c r="H14" t="inlineStr">
        <is>
          <t>Jewelry store</t>
        </is>
      </c>
      <c r="I14" t="inlineStr">
        <is>
          <t>Joisted masonry</t>
        </is>
      </c>
      <c r="J14" t="n">
        <v>2001</v>
      </c>
      <c r="K14" t="n">
        <v>1</v>
      </c>
      <c r="L14" s="6" t="n">
        <v>4230</v>
      </c>
      <c r="M14" t="n">
        <v>2020</v>
      </c>
      <c r="N14" t="inlineStr">
        <is>
          <t>None</t>
        </is>
      </c>
      <c r="O14" s="6" t="n">
        <v>1221000</v>
      </c>
      <c r="P14" s="6" t="n">
        <v>428000</v>
      </c>
      <c r="Q14" s="6" t="n">
        <v>3532000</v>
      </c>
      <c r="R14" s="6" t="n">
        <v>283000</v>
      </c>
      <c r="S14" s="6" t="n">
        <v>5464000</v>
      </c>
    </row>
    <row r="15">
      <c r="A15" t="inlineStr">
        <is>
          <t>10</t>
        </is>
      </c>
      <c r="B15" t="n">
        <v>1</v>
      </c>
      <c r="C15" t="inlineStr">
        <is>
          <t>Lumen Irvine</t>
        </is>
      </c>
      <c r="D15" t="inlineStr">
        <is>
          <t>7505 Quarry Rd</t>
        </is>
      </c>
      <c r="E15" t="inlineStr">
        <is>
          <t>Irvine</t>
        </is>
      </c>
      <c r="F15" t="inlineStr">
        <is>
          <t>CA</t>
        </is>
      </c>
      <c r="G15" t="inlineStr">
        <is>
          <t>92616</t>
        </is>
      </c>
      <c r="H15" t="inlineStr">
        <is>
          <t>Jewelry store</t>
        </is>
      </c>
      <c r="I15" t="inlineStr">
        <is>
          <t>Joisted masonry</t>
        </is>
      </c>
      <c r="J15" t="n">
        <v>1987</v>
      </c>
      <c r="K15" t="n">
        <v>1</v>
      </c>
      <c r="L15" s="6" t="n">
        <v>4457</v>
      </c>
      <c r="M15" t="n">
        <v>2018</v>
      </c>
      <c r="N15" t="inlineStr">
        <is>
          <t>None</t>
        </is>
      </c>
      <c r="O15" s="6" t="n">
        <v>1368000</v>
      </c>
      <c r="P15" s="6" t="n">
        <v>479000</v>
      </c>
      <c r="Q15" s="6" t="n">
        <v>3357000</v>
      </c>
      <c r="R15" s="6" t="n">
        <v>269000</v>
      </c>
      <c r="S15" s="6" t="n">
        <v>5473000</v>
      </c>
    </row>
    <row r="16">
      <c r="A16" t="inlineStr">
        <is>
          <t>11</t>
        </is>
      </c>
      <c r="B16" t="n">
        <v>1</v>
      </c>
      <c r="C16" t="inlineStr">
        <is>
          <t>Lumen Los Angeles</t>
        </is>
      </c>
      <c r="D16" t="inlineStr">
        <is>
          <t>2466 Foundry St</t>
        </is>
      </c>
      <c r="E16" t="inlineStr">
        <is>
          <t>Los Angeles</t>
        </is>
      </c>
      <c r="F16" t="inlineStr">
        <is>
          <t>CA</t>
        </is>
      </c>
      <c r="G16" t="inlineStr">
        <is>
          <t>92692</t>
        </is>
      </c>
      <c r="H16" t="inlineStr">
        <is>
          <t>Jewelry store</t>
        </is>
      </c>
      <c r="I16" t="inlineStr">
        <is>
          <t>Joisted masonry</t>
        </is>
      </c>
      <c r="J16" t="n">
        <v>2004</v>
      </c>
      <c r="K16" t="n">
        <v>1</v>
      </c>
      <c r="L16" s="6" t="n">
        <v>4892</v>
      </c>
      <c r="M16" t="n">
        <v>2019</v>
      </c>
      <c r="N16" t="inlineStr">
        <is>
          <t>None</t>
        </is>
      </c>
      <c r="O16" s="6" t="n">
        <v>1220000</v>
      </c>
      <c r="P16" s="6" t="n">
        <v>427000</v>
      </c>
      <c r="Q16" s="6" t="n">
        <v>3431000</v>
      </c>
      <c r="R16" s="6" t="n">
        <v>274000</v>
      </c>
      <c r="S16" s="6" t="n">
        <v>5352000</v>
      </c>
    </row>
    <row r="17">
      <c r="A17" t="inlineStr">
        <is>
          <t>12</t>
        </is>
      </c>
      <c r="B17" t="n">
        <v>1</v>
      </c>
      <c r="C17" t="inlineStr">
        <is>
          <t>Lumen Phoenix</t>
        </is>
      </c>
      <c r="D17" t="inlineStr">
        <is>
          <t>4994 Kestrel Dr</t>
        </is>
      </c>
      <c r="E17" t="inlineStr">
        <is>
          <t>Phoenix</t>
        </is>
      </c>
      <c r="F17" t="inlineStr">
        <is>
          <t>AZ</t>
        </is>
      </c>
      <c r="G17" t="inlineStr">
        <is>
          <t>85072</t>
        </is>
      </c>
      <c r="H17" t="inlineStr">
        <is>
          <t>Jewelry store</t>
        </is>
      </c>
      <c r="I17" t="inlineStr">
        <is>
          <t>Joisted masonry</t>
        </is>
      </c>
      <c r="J17" t="n">
        <v>1988</v>
      </c>
      <c r="K17" t="n">
        <v>1</v>
      </c>
      <c r="L17" s="6" t="n">
        <v>3427</v>
      </c>
      <c r="M17" t="n">
        <v>2016</v>
      </c>
      <c r="N17" t="inlineStr">
        <is>
          <t>None</t>
        </is>
      </c>
      <c r="O17" s="6" t="n">
        <v>1091000</v>
      </c>
      <c r="P17" s="6" t="n">
        <v>382000</v>
      </c>
      <c r="Q17" s="6" t="n">
        <v>3858000</v>
      </c>
      <c r="R17" s="6" t="n">
        <v>309000</v>
      </c>
      <c r="S17" s="6" t="n">
        <v>5640000</v>
      </c>
    </row>
    <row r="18">
      <c r="A18" t="inlineStr">
        <is>
          <t>13</t>
        </is>
      </c>
      <c r="B18" t="n">
        <v>1</v>
      </c>
      <c r="C18" t="inlineStr">
        <is>
          <t>Lumen Chicago</t>
        </is>
      </c>
      <c r="D18" t="inlineStr">
        <is>
          <t>1783 Ashford Cir</t>
        </is>
      </c>
      <c r="E18" t="inlineStr">
        <is>
          <t>Chicago</t>
        </is>
      </c>
      <c r="F18" t="inlineStr">
        <is>
          <t>IL</t>
        </is>
      </c>
      <c r="G18" t="inlineStr">
        <is>
          <t>60641</t>
        </is>
      </c>
      <c r="H18" t="inlineStr">
        <is>
          <t>Jewelry store</t>
        </is>
      </c>
      <c r="I18" t="inlineStr">
        <is>
          <t>Joisted masonry</t>
        </is>
      </c>
      <c r="J18" t="n">
        <v>1986</v>
      </c>
      <c r="K18" t="n">
        <v>1</v>
      </c>
      <c r="L18" s="6" t="n">
        <v>2665</v>
      </c>
      <c r="M18" t="n">
        <v>2015</v>
      </c>
      <c r="N18" t="inlineStr">
        <is>
          <t>None</t>
        </is>
      </c>
      <c r="O18" s="6" t="n">
        <v>1331000</v>
      </c>
      <c r="P18" s="6" t="n">
        <v>466000</v>
      </c>
      <c r="Q18" s="6" t="n">
        <v>3728000</v>
      </c>
      <c r="R18" s="6" t="n">
        <v>298000</v>
      </c>
      <c r="S18" s="6" t="n">
        <v>5823000</v>
      </c>
    </row>
    <row r="19">
      <c r="A19" t="inlineStr">
        <is>
          <t>14</t>
        </is>
      </c>
      <c r="B19" t="n">
        <v>1</v>
      </c>
      <c r="C19" t="inlineStr">
        <is>
          <t>Lumen Newark</t>
        </is>
      </c>
      <c r="D19" t="inlineStr">
        <is>
          <t>1388 Industrial Pkwy</t>
        </is>
      </c>
      <c r="E19" t="inlineStr">
        <is>
          <t>Newark</t>
        </is>
      </c>
      <c r="F19" t="inlineStr">
        <is>
          <t>NJ</t>
        </is>
      </c>
      <c r="G19" t="inlineStr">
        <is>
          <t>07139</t>
        </is>
      </c>
      <c r="H19" t="inlineStr">
        <is>
          <t>Jewelry store</t>
        </is>
      </c>
      <c r="I19" t="inlineStr">
        <is>
          <t>Joisted masonry</t>
        </is>
      </c>
      <c r="J19" t="n">
        <v>2011</v>
      </c>
      <c r="K19" t="n">
        <v>1</v>
      </c>
      <c r="L19" s="6" t="n">
        <v>4505</v>
      </c>
      <c r="M19" t="n">
        <v>2013</v>
      </c>
      <c r="N19" t="inlineStr">
        <is>
          <t>None</t>
        </is>
      </c>
      <c r="O19" s="6" t="n">
        <v>2108000</v>
      </c>
      <c r="P19" s="6" t="n">
        <v>738000</v>
      </c>
      <c r="Q19" s="6" t="n">
        <v>3307000</v>
      </c>
      <c r="R19" s="6" t="n">
        <v>265000</v>
      </c>
      <c r="S19" s="6" t="n">
        <v>6418000</v>
      </c>
    </row>
    <row r="20">
      <c r="A20" s="7" t="inlineStr">
        <is>
          <t>TOTAL</t>
        </is>
      </c>
      <c r="O20" s="8">
        <f>SUM(O6:O19)</f>
        <v/>
      </c>
      <c r="P20" s="8">
        <f>SUM(P6:P19)</f>
        <v/>
      </c>
      <c r="Q20" s="8">
        <f>SUM(Q6:Q19)</f>
        <v/>
      </c>
      <c r="R20" s="8">
        <f>SUM(R6:R19)</f>
        <v/>
      </c>
      <c r="S20" s="8">
        <f>SUM(S6:S19)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