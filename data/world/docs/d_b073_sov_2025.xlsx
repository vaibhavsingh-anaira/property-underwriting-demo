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Cobalt Logistics — Statement of Values</t>
        </is>
      </c>
    </row>
    <row r="2">
      <c r="A2" s="2" t="inlineStr">
        <is>
          <t>Values as of 2025-09-10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Cobalt Wilmington Facility</t>
        </is>
      </c>
      <c r="C6" t="inlineStr">
        <is>
          <t>4345 Railyard Rd</t>
        </is>
      </c>
      <c r="D6" t="inlineStr">
        <is>
          <t>Wilmington</t>
        </is>
      </c>
      <c r="E6" t="inlineStr">
        <is>
          <t>NC</t>
        </is>
      </c>
      <c r="F6" t="inlineStr">
        <is>
          <t>28464</t>
        </is>
      </c>
      <c r="G6" t="inlineStr">
        <is>
          <t>Warehouse</t>
        </is>
      </c>
      <c r="H6" t="inlineStr">
        <is>
          <t>Masonry non-combustible</t>
        </is>
      </c>
      <c r="I6" t="n">
        <v>2019</v>
      </c>
      <c r="J6" t="n">
        <v>1</v>
      </c>
      <c r="K6" s="6" t="n">
        <v>55442</v>
      </c>
      <c r="L6" t="n">
        <v>2021</v>
      </c>
      <c r="M6" t="n">
        <v>100</v>
      </c>
      <c r="N6" s="6" t="n">
        <v>5717000</v>
      </c>
      <c r="O6" s="6" t="n">
        <v>865000</v>
      </c>
      <c r="P6" s="6" t="n">
        <v>3092000</v>
      </c>
      <c r="Q6" s="6" t="n">
        <v>818000</v>
      </c>
      <c r="R6" s="6" t="n">
        <v>10492000</v>
      </c>
    </row>
    <row r="7">
      <c r="A7" t="inlineStr">
        <is>
          <t>2</t>
        </is>
      </c>
      <c r="B7" t="inlineStr">
        <is>
          <t>Cobalt Miami Building</t>
        </is>
      </c>
      <c r="C7" t="inlineStr">
        <is>
          <t>1125 Heron Bay Dr</t>
        </is>
      </c>
      <c r="D7" t="inlineStr">
        <is>
          <t>Miami</t>
        </is>
      </c>
      <c r="E7" t="inlineStr">
        <is>
          <t>FL</t>
        </is>
      </c>
      <c r="F7" t="inlineStr">
        <is>
          <t>33605</t>
        </is>
      </c>
      <c r="G7" t="inlineStr">
        <is>
          <t>Warehouse</t>
        </is>
      </c>
      <c r="H7" t="inlineStr">
        <is>
          <t>Fire resistive</t>
        </is>
      </c>
      <c r="I7" t="n">
        <v>1980</v>
      </c>
      <c r="J7" t="n">
        <v>1</v>
      </c>
      <c r="K7" s="6" t="n">
        <v>349383</v>
      </c>
      <c r="L7" t="n">
        <v>2020</v>
      </c>
      <c r="M7" t="n">
        <v>0</v>
      </c>
      <c r="N7" s="6" t="n">
        <v>38902000</v>
      </c>
      <c r="O7" s="6" t="n">
        <v>5691000</v>
      </c>
      <c r="P7" s="6" t="n">
        <v>21726000</v>
      </c>
      <c r="Q7" s="6" t="n">
        <v>4743000</v>
      </c>
      <c r="R7" s="6" t="n">
        <v>71062000</v>
      </c>
    </row>
    <row r="8">
      <c r="A8" t="inlineStr">
        <is>
          <t>3</t>
        </is>
      </c>
      <c r="B8" t="inlineStr">
        <is>
          <t>Cobalt Charleston Site</t>
        </is>
      </c>
      <c r="C8" t="inlineStr">
        <is>
          <t>2409 Cypress Ridge Blvd</t>
        </is>
      </c>
      <c r="D8" t="inlineStr">
        <is>
          <t>Charleston</t>
        </is>
      </c>
      <c r="E8" t="inlineStr">
        <is>
          <t>SC</t>
        </is>
      </c>
      <c r="F8" t="inlineStr">
        <is>
          <t>29478</t>
        </is>
      </c>
      <c r="G8" t="inlineStr">
        <is>
          <t>Warehouse</t>
        </is>
      </c>
      <c r="H8" t="inlineStr">
        <is>
          <t>Joisted masonry</t>
        </is>
      </c>
      <c r="I8" t="n">
        <v>2002</v>
      </c>
      <c r="J8" t="n">
        <v>2</v>
      </c>
      <c r="K8" s="6" t="n">
        <v>196638</v>
      </c>
      <c r="L8" t="n">
        <v>2022</v>
      </c>
      <c r="M8" t="n">
        <v>0</v>
      </c>
      <c r="N8" s="6" t="n">
        <v>37017000</v>
      </c>
      <c r="O8" s="6" t="n">
        <v>5555000</v>
      </c>
      <c r="P8" s="6" t="n">
        <v>20486000</v>
      </c>
      <c r="Q8" s="6" t="n">
        <v>4620000</v>
      </c>
      <c r="R8" s="6" t="n">
        <v>67678000</v>
      </c>
    </row>
    <row r="9">
      <c r="A9" t="inlineStr">
        <is>
          <t>4</t>
        </is>
      </c>
      <c r="B9" t="inlineStr">
        <is>
          <t>Cobalt Wilmington Facility</t>
        </is>
      </c>
      <c r="C9" t="inlineStr">
        <is>
          <t>5028 Keystone Ave</t>
        </is>
      </c>
      <c r="D9" t="inlineStr">
        <is>
          <t>Wilmington</t>
        </is>
      </c>
      <c r="E9" t="inlineStr">
        <is>
          <t>NC</t>
        </is>
      </c>
      <c r="F9" t="inlineStr">
        <is>
          <t>28409</t>
        </is>
      </c>
      <c r="G9" t="inlineStr">
        <is>
          <t>Warehouse</t>
        </is>
      </c>
      <c r="H9" t="inlineStr">
        <is>
          <t>Masonry non-combustible</t>
        </is>
      </c>
      <c r="I9" t="n">
        <v>1980</v>
      </c>
      <c r="J9" t="n">
        <v>3</v>
      </c>
      <c r="K9" s="6" t="n">
        <v>33084</v>
      </c>
      <c r="L9" t="n">
        <v>2009</v>
      </c>
      <c r="M9" t="n">
        <v>100</v>
      </c>
      <c r="N9" s="6" t="n">
        <v>5875000</v>
      </c>
      <c r="O9" s="6" t="n">
        <v>898000</v>
      </c>
      <c r="P9" s="6" t="n">
        <v>3227000</v>
      </c>
      <c r="Q9" s="6" t="n">
        <v>790000</v>
      </c>
      <c r="R9" s="6" t="n">
        <v>10790000</v>
      </c>
    </row>
    <row r="10">
      <c r="A10" t="inlineStr">
        <is>
          <t>5</t>
        </is>
      </c>
      <c r="B10" t="inlineStr">
        <is>
          <t>Cobalt Tampa Building</t>
        </is>
      </c>
      <c r="C10" t="inlineStr">
        <is>
          <t>9409 Summit Ave</t>
        </is>
      </c>
      <c r="D10" t="inlineStr">
        <is>
          <t>Tampa</t>
        </is>
      </c>
      <c r="E10" t="inlineStr">
        <is>
          <t>FL</t>
        </is>
      </c>
      <c r="F10" t="inlineStr">
        <is>
          <t>33637</t>
        </is>
      </c>
      <c r="G10" t="inlineStr">
        <is>
          <t>Warehouse</t>
        </is>
      </c>
      <c r="H10" t="inlineStr">
        <is>
          <t>Joisted masonry</t>
        </is>
      </c>
      <c r="I10" t="n">
        <v>1966</v>
      </c>
      <c r="J10" t="n">
        <v>1</v>
      </c>
      <c r="K10" s="6" t="n">
        <v>56983</v>
      </c>
      <c r="L10" t="n">
        <v>2004</v>
      </c>
      <c r="M10" t="n">
        <v>100</v>
      </c>
      <c r="N10" s="6" t="n">
        <v>7446000</v>
      </c>
      <c r="O10" s="6" t="n">
        <v>1077000</v>
      </c>
      <c r="P10" s="6" t="n">
        <v>4154000</v>
      </c>
      <c r="Q10" s="6" t="n">
        <v>1012000</v>
      </c>
      <c r="R10" s="6" t="n">
        <v>13689000</v>
      </c>
    </row>
    <row r="11">
      <c r="A11" t="inlineStr">
        <is>
          <t>6</t>
        </is>
      </c>
      <c r="B11" t="inlineStr">
        <is>
          <t>Cobalt Galveston Site</t>
        </is>
      </c>
      <c r="C11" t="inlineStr">
        <is>
          <t>9000 Canal St E</t>
        </is>
      </c>
      <c r="D11" t="inlineStr">
        <is>
          <t>Galveston</t>
        </is>
      </c>
      <c r="E11" t="inlineStr">
        <is>
          <t>TX</t>
        </is>
      </c>
      <c r="F11" t="inlineStr">
        <is>
          <t>75095</t>
        </is>
      </c>
      <c r="G11" t="inlineStr">
        <is>
          <t>Warehouse</t>
        </is>
      </c>
      <c r="H11" t="inlineStr">
        <is>
          <t>Fire resistive</t>
        </is>
      </c>
      <c r="I11" t="n">
        <v>2009</v>
      </c>
      <c r="J11" t="n">
        <v>1</v>
      </c>
      <c r="K11" s="6" t="n">
        <v>34227</v>
      </c>
      <c r="L11" t="n">
        <v>2010</v>
      </c>
      <c r="M11" t="n">
        <v>100</v>
      </c>
      <c r="N11" s="6" t="n">
        <v>5750000</v>
      </c>
      <c r="O11" s="6" t="n">
        <v>854000</v>
      </c>
      <c r="P11" s="6" t="n">
        <v>3370000</v>
      </c>
      <c r="Q11" s="6" t="n">
        <v>723000</v>
      </c>
      <c r="R11" s="6" t="n">
        <v>10697000</v>
      </c>
    </row>
    <row r="12">
      <c r="A12" t="inlineStr">
        <is>
          <t>7</t>
        </is>
      </c>
      <c r="B12" t="inlineStr">
        <is>
          <t>Cobalt Miami Facility</t>
        </is>
      </c>
      <c r="C12" t="inlineStr">
        <is>
          <t>8324 Cypress Ridge Blvd</t>
        </is>
      </c>
      <c r="D12" t="inlineStr">
        <is>
          <t>Miami</t>
        </is>
      </c>
      <c r="E12" t="inlineStr">
        <is>
          <t>FL</t>
        </is>
      </c>
      <c r="F12" t="inlineStr">
        <is>
          <t>33682</t>
        </is>
      </c>
      <c r="G12" t="inlineStr">
        <is>
          <t>Warehouse</t>
        </is>
      </c>
      <c r="H12" t="inlineStr">
        <is>
          <t>Fire resistive</t>
        </is>
      </c>
      <c r="I12" t="n">
        <v>1999</v>
      </c>
      <c r="J12" t="n">
        <v>1</v>
      </c>
      <c r="K12" s="6" t="n">
        <v>186429</v>
      </c>
      <c r="L12" t="n">
        <v>2022</v>
      </c>
      <c r="M12" t="n">
        <v>100</v>
      </c>
      <c r="N12" s="6" t="n">
        <v>20550000</v>
      </c>
      <c r="O12" s="6" t="n">
        <v>3232000</v>
      </c>
      <c r="P12" s="6" t="n">
        <v>10601000</v>
      </c>
      <c r="Q12" s="6" t="n">
        <v>2650000</v>
      </c>
      <c r="R12" s="6" t="n">
        <v>37033000</v>
      </c>
    </row>
    <row r="13">
      <c r="A13" t="inlineStr">
        <is>
          <t>8</t>
        </is>
      </c>
      <c r="B13" t="inlineStr">
        <is>
          <t>Cobalt Atlanta Building</t>
        </is>
      </c>
      <c r="C13" t="inlineStr">
        <is>
          <t>6836 Sawmill Ln</t>
        </is>
      </c>
      <c r="D13" t="inlineStr">
        <is>
          <t>Atlanta</t>
        </is>
      </c>
      <c r="E13" t="inlineStr">
        <is>
          <t>GA</t>
        </is>
      </c>
      <c r="F13" t="inlineStr">
        <is>
          <t>30321</t>
        </is>
      </c>
      <c r="G13" t="inlineStr">
        <is>
          <t>Warehouse</t>
        </is>
      </c>
      <c r="H13" t="inlineStr">
        <is>
          <t>Masonry non-combustible</t>
        </is>
      </c>
      <c r="I13" t="n">
        <v>1995</v>
      </c>
      <c r="J13" t="n">
        <v>3</v>
      </c>
      <c r="K13" s="6" t="n">
        <v>249775</v>
      </c>
      <c r="L13" t="n">
        <v>2014</v>
      </c>
      <c r="M13" t="n">
        <v>0</v>
      </c>
      <c r="N13" s="6" t="n">
        <v>37443000</v>
      </c>
      <c r="O13" s="6" t="n">
        <v>5181000</v>
      </c>
      <c r="P13" s="6" t="n">
        <v>19213000</v>
      </c>
      <c r="Q13" s="6" t="n">
        <v>4717000</v>
      </c>
      <c r="R13" s="6" t="n">
        <v>66554000</v>
      </c>
    </row>
    <row r="14">
      <c r="A14" s="7" t="inlineStr">
        <is>
          <t>TOTAL</t>
        </is>
      </c>
      <c r="N14" s="8">
        <f>SUM(N6:N13)</f>
        <v/>
      </c>
      <c r="O14" s="8">
        <f>SUM(O6:O13)</f>
        <v/>
      </c>
      <c r="P14" s="8">
        <f>SUM(P6:P13)</f>
        <v/>
      </c>
      <c r="Q14" s="8">
        <f>SUM(Q6:Q13)</f>
        <v/>
      </c>
      <c r="R14" s="8">
        <f>SUM(R6:R13)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