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6" fillId="0" borderId="0" pivotButton="0" quotePrefix="0" xfId="0"/>
    <xf numFmtId="3" fontId="0" fillId="0" borderId="0" pivotButton="0" quotePrefix="0" xfId="0"/>
    <xf numFmtId="0" fontId="5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20" customWidth="1" min="4" max="4"/>
    <col width="9" customWidth="1" min="5" max="5"/>
    <col width="9" customWidth="1" min="6" max="6"/>
    <col width="15" customWidth="1" min="7" max="7"/>
    <col width="9" customWidth="1" min="8" max="8"/>
    <col width="28" customWidth="1" min="9" max="9"/>
    <col width="24" customWidth="1" min="10" max="10"/>
    <col width="17" customWidth="1" min="11" max="11"/>
    <col width="14" customWidth="1" min="12" max="12"/>
    <col width="17" customWidth="1" min="13" max="13"/>
    <col width="24" customWidth="1" min="14" max="14"/>
    <col width="17" customWidth="1" min="15" max="15"/>
    <col width="12" customWidth="1" min="16" max="16"/>
    <col width="21" customWidth="1" min="17" max="17"/>
    <col width="16" customWidth="1" min="18" max="18"/>
    <col width="9" customWidth="1" min="19" max="19"/>
    <col hidden="1" width="13" customWidth="1" min="20" max="20"/>
  </cols>
  <sheetData>
    <row r="1">
      <c r="A1" s="1" t="inlineStr">
        <is>
          <t>Summit University — Statement of Values</t>
        </is>
      </c>
    </row>
    <row r="2">
      <c r="A2" s="2" t="inlineStr">
        <is>
          <t>Values as of 2025-07-08</t>
        </is>
      </c>
    </row>
    <row r="3">
      <c r="A3" s="3" t="inlineStr">
        <is>
          <t>Prepared by Brightwater Risk Advisors</t>
        </is>
      </c>
    </row>
    <row r="5" ht="30" customHeight="1">
      <c r="A5" s="4" t="inlineStr">
        <is>
          <t>Site</t>
        </is>
      </c>
      <c r="B5" s="4" t="inlineStr">
        <is>
          <t>Building</t>
        </is>
      </c>
      <c r="C5" s="4" t="inlineStr">
        <is>
          <t>Site Description</t>
        </is>
      </c>
      <c r="D5" s="4" t="inlineStr">
        <is>
          <t>Location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Postal Code</t>
        </is>
      </c>
      <c r="H5" s="4" t="inlineStr">
        <is>
          <t>Use</t>
        </is>
      </c>
      <c r="I5" s="4" t="inlineStr">
        <is>
          <t>ISO Class / Construction</t>
        </is>
      </c>
      <c r="J5" s="4" t="inlineStr">
        <is>
          <t>Year of Construction</t>
        </is>
      </c>
      <c r="K5" s="4" t="inlineStr">
        <is>
          <t>No. of Floors</t>
        </is>
      </c>
      <c r="L5" s="4" t="inlineStr">
        <is>
          <t>Gross Area</t>
        </is>
      </c>
      <c r="M5" s="4" t="inlineStr">
        <is>
          <t>Roof Replaced</t>
        </is>
      </c>
      <c r="N5" s="4" t="inlineStr">
        <is>
          <t>Sprinkler Protection</t>
        </is>
      </c>
      <c r="O5" s="4" t="inlineStr">
        <is>
          <t>Building (RC)</t>
        </is>
      </c>
      <c r="P5" s="4" t="inlineStr">
        <is>
          <t>Contents</t>
        </is>
      </c>
      <c r="Q5" s="4" t="inlineStr">
        <is>
          <t>Stock / Inventory</t>
        </is>
      </c>
      <c r="R5" s="4" t="inlineStr">
        <is>
          <t>Time Element</t>
        </is>
      </c>
      <c r="S5" s="4" t="inlineStr">
        <is>
          <t>Total</t>
        </is>
      </c>
      <c r="T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Birch Library 1</t>
        </is>
      </c>
      <c r="D6" t="inlineStr">
        <is>
          <t>110 College Ave</t>
        </is>
      </c>
      <c r="E6" t="inlineStr">
        <is>
          <t>State College</t>
        </is>
      </c>
      <c r="F6" t="inlineStr">
        <is>
          <t>PA</t>
        </is>
      </c>
      <c r="G6" t="inlineStr">
        <is>
          <t>15213</t>
        </is>
      </c>
      <c r="H6" t="inlineStr">
        <is>
          <t>Library</t>
        </is>
      </c>
      <c r="I6" t="inlineStr">
        <is>
          <t>Masonry non-combustible</t>
        </is>
      </c>
      <c r="J6" t="n">
        <v>1965</v>
      </c>
      <c r="K6" t="n">
        <v>2</v>
      </c>
      <c r="L6" s="6" t="n">
        <v>36717</v>
      </c>
      <c r="M6" t="n">
        <v>2012</v>
      </c>
      <c r="N6" t="inlineStr">
        <is>
          <t>Full</t>
        </is>
      </c>
      <c r="O6" s="6" t="n">
        <v>9409000</v>
      </c>
      <c r="P6" s="6" t="n">
        <v>1396000</v>
      </c>
      <c r="Q6" s="6" t="n">
        <v>0</v>
      </c>
      <c r="R6" s="6" t="n">
        <v>670000</v>
      </c>
      <c r="S6" s="6" t="n">
        <v>11475000</v>
      </c>
    </row>
    <row r="7">
      <c r="A7" t="inlineStr">
        <is>
          <t>2</t>
        </is>
      </c>
      <c r="B7" t="n">
        <v>1</v>
      </c>
      <c r="C7" t="inlineStr">
        <is>
          <t>Carver Laboratory 2</t>
        </is>
      </c>
      <c r="D7" t="inlineStr">
        <is>
          <t>120 College Ave</t>
        </is>
      </c>
      <c r="E7" t="inlineStr">
        <is>
          <t>State College</t>
        </is>
      </c>
      <c r="F7" t="inlineStr">
        <is>
          <t>PA</t>
        </is>
      </c>
      <c r="G7" t="inlineStr">
        <is>
          <t>15256</t>
        </is>
      </c>
      <c r="H7" t="inlineStr">
        <is>
          <t>Laboratory</t>
        </is>
      </c>
      <c r="I7" t="inlineStr">
        <is>
          <t>Fire resistive</t>
        </is>
      </c>
      <c r="J7" t="n">
        <v>1977</v>
      </c>
      <c r="K7" t="n">
        <v>5</v>
      </c>
      <c r="L7" s="6" t="n">
        <v>63822</v>
      </c>
      <c r="M7" t="n">
        <v>2012</v>
      </c>
      <c r="N7" t="inlineStr">
        <is>
          <t>Full</t>
        </is>
      </c>
      <c r="O7" s="6" t="n">
        <v>14709000</v>
      </c>
      <c r="P7" s="6" t="n">
        <v>2060000</v>
      </c>
      <c r="Q7" s="6" t="n">
        <v>0</v>
      </c>
      <c r="R7" s="6" t="n">
        <v>1017000</v>
      </c>
      <c r="S7" s="6" t="n">
        <v>17786000</v>
      </c>
    </row>
    <row r="8">
      <c r="A8" t="inlineStr">
        <is>
          <t>3</t>
        </is>
      </c>
      <c r="B8" t="n">
        <v>1</v>
      </c>
      <c r="C8" t="inlineStr">
        <is>
          <t>Dunmore Residence Hall 3</t>
        </is>
      </c>
      <c r="D8" t="inlineStr">
        <is>
          <t>130 College Ave</t>
        </is>
      </c>
      <c r="E8" t="inlineStr">
        <is>
          <t>State College</t>
        </is>
      </c>
      <c r="F8" t="inlineStr">
        <is>
          <t>PA</t>
        </is>
      </c>
      <c r="G8" t="inlineStr">
        <is>
          <t>15233</t>
        </is>
      </c>
      <c r="H8" t="inlineStr">
        <is>
          <t>Dormitory</t>
        </is>
      </c>
      <c r="I8" t="inlineStr">
        <is>
          <t>Fire resistive</t>
        </is>
      </c>
      <c r="J8" t="n">
        <v>1984</v>
      </c>
      <c r="K8" t="n">
        <v>4</v>
      </c>
      <c r="L8" s="6" t="n">
        <v>64192</v>
      </c>
      <c r="M8" t="n">
        <v>2018</v>
      </c>
      <c r="N8" t="inlineStr">
        <is>
          <t>Partial</t>
        </is>
      </c>
      <c r="O8" s="6" t="n">
        <v>19639000</v>
      </c>
      <c r="P8" s="6" t="n">
        <v>3257000</v>
      </c>
      <c r="Q8" s="6" t="n">
        <v>0</v>
      </c>
      <c r="R8" s="6" t="n">
        <v>1595000</v>
      </c>
      <c r="S8" s="6" t="n">
        <v>24491000</v>
      </c>
    </row>
    <row r="9">
      <c r="A9" t="inlineStr">
        <is>
          <t>4</t>
        </is>
      </c>
      <c r="B9" t="n">
        <v>1</v>
      </c>
      <c r="C9" t="inlineStr">
        <is>
          <t>Ellison Athletics 4</t>
        </is>
      </c>
      <c r="D9" t="inlineStr">
        <is>
          <t>140 College Ave</t>
        </is>
      </c>
      <c r="E9" t="inlineStr">
        <is>
          <t>State College</t>
        </is>
      </c>
      <c r="F9" t="inlineStr">
        <is>
          <t>PA</t>
        </is>
      </c>
      <c r="G9" t="inlineStr">
        <is>
          <t>15273</t>
        </is>
      </c>
      <c r="H9" t="inlineStr">
        <is>
          <t>Classroom</t>
        </is>
      </c>
      <c r="I9" t="inlineStr">
        <is>
          <t>Masonry non-combustible</t>
        </is>
      </c>
      <c r="J9" t="n">
        <v>2016</v>
      </c>
      <c r="K9" t="n">
        <v>2</v>
      </c>
      <c r="L9" s="6" t="n">
        <v>116821</v>
      </c>
      <c r="M9" t="n">
        <v>2004</v>
      </c>
      <c r="N9" t="inlineStr">
        <is>
          <t>Partial</t>
        </is>
      </c>
      <c r="O9" s="6" t="n">
        <v>40016000</v>
      </c>
      <c r="P9" s="6" t="n">
        <v>5668000</v>
      </c>
      <c r="Q9" s="6" t="n">
        <v>0</v>
      </c>
      <c r="R9" s="6" t="n">
        <v>2689000</v>
      </c>
      <c r="S9" s="6" t="n">
        <v>48373000</v>
      </c>
    </row>
    <row r="10">
      <c r="A10" t="inlineStr">
        <is>
          <t>5</t>
        </is>
      </c>
      <c r="B10" t="n">
        <v>1</v>
      </c>
      <c r="C10" t="inlineStr">
        <is>
          <t>Fairway Student Center 5</t>
        </is>
      </c>
      <c r="D10" t="inlineStr">
        <is>
          <t>150 College Ave</t>
        </is>
      </c>
      <c r="E10" t="inlineStr">
        <is>
          <t>State College</t>
        </is>
      </c>
      <c r="F10" t="inlineStr">
        <is>
          <t>PA</t>
        </is>
      </c>
      <c r="G10" t="inlineStr">
        <is>
          <t>15258</t>
        </is>
      </c>
      <c r="H10" t="inlineStr">
        <is>
          <t>Classroom</t>
        </is>
      </c>
      <c r="I10" t="inlineStr">
        <is>
          <t>Masonry non-combustible</t>
        </is>
      </c>
      <c r="J10" t="n">
        <v>2006</v>
      </c>
      <c r="K10" t="n">
        <v>2</v>
      </c>
      <c r="L10" s="6" t="n">
        <v>121728</v>
      </c>
      <c r="M10" t="n">
        <v>2012</v>
      </c>
      <c r="N10" t="inlineStr">
        <is>
          <t>Full</t>
        </is>
      </c>
      <c r="O10" s="6" t="n">
        <v>37590000</v>
      </c>
      <c r="P10" s="6" t="n">
        <v>5466000</v>
      </c>
      <c r="Q10" s="6" t="n">
        <v>0</v>
      </c>
      <c r="R10" s="6" t="n">
        <v>2844000</v>
      </c>
      <c r="S10" s="6" t="n">
        <v>45900000</v>
      </c>
    </row>
    <row r="11">
      <c r="A11" t="inlineStr">
        <is>
          <t>6</t>
        </is>
      </c>
      <c r="B11" t="n">
        <v>1</v>
      </c>
      <c r="C11" t="inlineStr">
        <is>
          <t>Garrow Engineering 6</t>
        </is>
      </c>
      <c r="D11" t="inlineStr">
        <is>
          <t>160 College Ave</t>
        </is>
      </c>
      <c r="E11" t="inlineStr">
        <is>
          <t>State College</t>
        </is>
      </c>
      <c r="F11" t="inlineStr">
        <is>
          <t>PA</t>
        </is>
      </c>
      <c r="G11" t="inlineStr">
        <is>
          <t>15238</t>
        </is>
      </c>
      <c r="H11" t="inlineStr">
        <is>
          <t>Classroom</t>
        </is>
      </c>
      <c r="I11" t="inlineStr">
        <is>
          <t>Masonry non-combustible</t>
        </is>
      </c>
      <c r="J11" t="n">
        <v>1969</v>
      </c>
      <c r="K11" t="n">
        <v>2</v>
      </c>
      <c r="L11" s="6" t="n">
        <v>113796</v>
      </c>
      <c r="M11" t="n">
        <v>2011</v>
      </c>
      <c r="N11" t="inlineStr">
        <is>
          <t>Full</t>
        </is>
      </c>
      <c r="O11" s="6" t="n">
        <v>25310000</v>
      </c>
      <c r="P11" s="6" t="n">
        <v>3451000</v>
      </c>
      <c r="Q11" s="6" t="n">
        <v>0</v>
      </c>
      <c r="R11" s="6" t="n">
        <v>1926000</v>
      </c>
      <c r="S11" s="6" t="n">
        <v>30687000</v>
      </c>
    </row>
    <row r="12">
      <c r="A12" t="inlineStr">
        <is>
          <t>7</t>
        </is>
      </c>
      <c r="B12" t="n">
        <v>1</v>
      </c>
      <c r="C12" t="inlineStr">
        <is>
          <t>Hollis Arts 7</t>
        </is>
      </c>
      <c r="D12" t="inlineStr">
        <is>
          <t>170 College Ave</t>
        </is>
      </c>
      <c r="E12" t="inlineStr">
        <is>
          <t>State College</t>
        </is>
      </c>
      <c r="F12" t="inlineStr">
        <is>
          <t>PA</t>
        </is>
      </c>
      <c r="G12" t="inlineStr">
        <is>
          <t>15283</t>
        </is>
      </c>
      <c r="H12" t="inlineStr">
        <is>
          <t>Classroom</t>
        </is>
      </c>
      <c r="I12" t="inlineStr">
        <is>
          <t>Modified fire resistive</t>
        </is>
      </c>
      <c r="J12" t="n">
        <v>1973</v>
      </c>
      <c r="K12" t="n">
        <v>6</v>
      </c>
      <c r="L12" s="6" t="n">
        <v>89058</v>
      </c>
      <c r="M12" t="n">
        <v>2012</v>
      </c>
      <c r="N12" t="inlineStr">
        <is>
          <t>Full</t>
        </is>
      </c>
      <c r="O12" s="6" t="n">
        <v>19594000</v>
      </c>
      <c r="P12" s="6" t="n">
        <v>3171000</v>
      </c>
      <c r="Q12" s="6" t="n">
        <v>0</v>
      </c>
      <c r="R12" s="6" t="n">
        <v>1471000</v>
      </c>
      <c r="S12" s="6" t="n">
        <v>24236000</v>
      </c>
    </row>
    <row r="13">
      <c r="A13" t="inlineStr">
        <is>
          <t>8</t>
        </is>
      </c>
      <c r="B13" t="n">
        <v>1</v>
      </c>
      <c r="C13" t="inlineStr">
        <is>
          <t>Ingram Hall 8</t>
        </is>
      </c>
      <c r="D13" t="inlineStr">
        <is>
          <t>180 College Ave</t>
        </is>
      </c>
      <c r="E13" t="inlineStr">
        <is>
          <t>State College</t>
        </is>
      </c>
      <c r="F13" t="inlineStr">
        <is>
          <t>PA</t>
        </is>
      </c>
      <c r="G13" t="inlineStr">
        <is>
          <t>15288</t>
        </is>
      </c>
      <c r="H13" t="inlineStr">
        <is>
          <t>Classroom</t>
        </is>
      </c>
      <c r="I13" t="inlineStr">
        <is>
          <t>Fire resistive</t>
        </is>
      </c>
      <c r="J13" t="n">
        <v>1944</v>
      </c>
      <c r="K13" t="n">
        <v>7</v>
      </c>
      <c r="L13" s="6" t="n">
        <v>94138</v>
      </c>
      <c r="M13" t="n">
        <v>2012</v>
      </c>
      <c r="N13" t="inlineStr">
        <is>
          <t>Partial</t>
        </is>
      </c>
      <c r="O13" s="6" t="n">
        <v>26753000</v>
      </c>
      <c r="P13" s="6" t="n">
        <v>3809000</v>
      </c>
      <c r="Q13" s="6" t="n">
        <v>0</v>
      </c>
      <c r="R13" s="6" t="n">
        <v>1833000</v>
      </c>
      <c r="S13" s="6" t="n">
        <v>32395000</v>
      </c>
    </row>
    <row r="14">
      <c r="A14" t="inlineStr">
        <is>
          <t>9</t>
        </is>
      </c>
      <c r="B14" t="n">
        <v>1</v>
      </c>
      <c r="C14" t="inlineStr">
        <is>
          <t>Juniper Library 9</t>
        </is>
      </c>
      <c r="D14" t="inlineStr">
        <is>
          <t>190 College Ave</t>
        </is>
      </c>
      <c r="E14" t="inlineStr">
        <is>
          <t>State College</t>
        </is>
      </c>
      <c r="F14" t="inlineStr">
        <is>
          <t>PA</t>
        </is>
      </c>
      <c r="G14" t="inlineStr">
        <is>
          <t>15287</t>
        </is>
      </c>
      <c r="H14" t="inlineStr">
        <is>
          <t>Library</t>
        </is>
      </c>
      <c r="I14" t="inlineStr">
        <is>
          <t>Fire resistive</t>
        </is>
      </c>
      <c r="J14" t="n">
        <v>1993</v>
      </c>
      <c r="K14" t="n">
        <v>2</v>
      </c>
      <c r="L14" s="6" t="n">
        <v>44521</v>
      </c>
      <c r="M14" t="n">
        <v>2008</v>
      </c>
      <c r="N14" t="inlineStr">
        <is>
          <t>Full</t>
        </is>
      </c>
      <c r="O14" s="6" t="n">
        <v>14974000</v>
      </c>
      <c r="P14" s="6" t="n">
        <v>2317000</v>
      </c>
      <c r="Q14" s="6" t="n">
        <v>0</v>
      </c>
      <c r="R14" s="6" t="n">
        <v>1078000</v>
      </c>
      <c r="S14" s="6" t="n">
        <v>18369000</v>
      </c>
    </row>
    <row r="15">
      <c r="A15" t="inlineStr">
        <is>
          <t>10</t>
        </is>
      </c>
      <c r="B15" t="n">
        <v>1</v>
      </c>
      <c r="C15" t="inlineStr">
        <is>
          <t>Kessler Laboratory 10</t>
        </is>
      </c>
      <c r="D15" t="inlineStr">
        <is>
          <t>200 College Ave</t>
        </is>
      </c>
      <c r="E15" t="inlineStr">
        <is>
          <t>State College</t>
        </is>
      </c>
      <c r="F15" t="inlineStr">
        <is>
          <t>PA</t>
        </is>
      </c>
      <c r="G15" t="inlineStr">
        <is>
          <t>15229</t>
        </is>
      </c>
      <c r="H15" t="inlineStr">
        <is>
          <t>Laboratory</t>
        </is>
      </c>
      <c r="I15" t="inlineStr">
        <is>
          <t>Masonry non-combustible</t>
        </is>
      </c>
      <c r="J15" t="n">
        <v>1990</v>
      </c>
      <c r="K15" t="n">
        <v>3</v>
      </c>
      <c r="L15" s="6" t="n">
        <v>57014</v>
      </c>
      <c r="M15" t="n">
        <v>2019</v>
      </c>
      <c r="N15" t="inlineStr">
        <is>
          <t>Full</t>
        </is>
      </c>
      <c r="O15" s="6" t="n">
        <v>15318000</v>
      </c>
      <c r="P15" s="6" t="n">
        <v>2051000</v>
      </c>
      <c r="Q15" s="6" t="n">
        <v>0</v>
      </c>
      <c r="R15" s="6" t="n">
        <v>1114000</v>
      </c>
      <c r="S15" s="6" t="n">
        <v>18483000</v>
      </c>
    </row>
    <row r="16">
      <c r="A16" t="inlineStr">
        <is>
          <t>11</t>
        </is>
      </c>
      <c r="B16" t="n">
        <v>1</v>
      </c>
      <c r="C16" t="inlineStr">
        <is>
          <t>Lowell Residence Hall 11</t>
        </is>
      </c>
      <c r="D16" t="inlineStr">
        <is>
          <t>210 College Ave</t>
        </is>
      </c>
      <c r="E16" t="inlineStr">
        <is>
          <t>State College</t>
        </is>
      </c>
      <c r="F16" t="inlineStr">
        <is>
          <t>PA</t>
        </is>
      </c>
      <c r="G16" t="inlineStr">
        <is>
          <t>15271</t>
        </is>
      </c>
      <c r="H16" t="inlineStr">
        <is>
          <t>Dormitory</t>
        </is>
      </c>
      <c r="I16" t="inlineStr">
        <is>
          <t>Masonry non-combustible</t>
        </is>
      </c>
      <c r="J16" t="n">
        <v>1967</v>
      </c>
      <c r="K16" t="n">
        <v>3</v>
      </c>
      <c r="L16" s="6" t="n">
        <v>82052</v>
      </c>
      <c r="M16" t="n">
        <v>2004</v>
      </c>
      <c r="N16" t="inlineStr">
        <is>
          <t>Partial</t>
        </is>
      </c>
      <c r="O16" s="6" t="n">
        <v>22231000</v>
      </c>
      <c r="P16" s="6" t="n">
        <v>3168000</v>
      </c>
      <c r="Q16" s="6" t="n">
        <v>0</v>
      </c>
      <c r="R16" s="6" t="n">
        <v>1555000</v>
      </c>
      <c r="S16" s="6" t="n">
        <v>26954000</v>
      </c>
    </row>
    <row r="17">
      <c r="A17" t="inlineStr">
        <is>
          <t>12</t>
        </is>
      </c>
      <c r="B17" t="n">
        <v>1</v>
      </c>
      <c r="C17" t="inlineStr">
        <is>
          <t>Marston Athletics 12</t>
        </is>
      </c>
      <c r="D17" t="inlineStr">
        <is>
          <t>220 College Ave</t>
        </is>
      </c>
      <c r="E17" t="inlineStr">
        <is>
          <t>State College</t>
        </is>
      </c>
      <c r="F17" t="inlineStr">
        <is>
          <t>PA</t>
        </is>
      </c>
      <c r="G17" t="inlineStr">
        <is>
          <t>15251</t>
        </is>
      </c>
      <c r="H17" t="inlineStr">
        <is>
          <t>Classroom</t>
        </is>
      </c>
      <c r="I17" t="inlineStr">
        <is>
          <t>Fire resistive</t>
        </is>
      </c>
      <c r="J17" t="n">
        <v>1939</v>
      </c>
      <c r="K17" t="n">
        <v>4</v>
      </c>
      <c r="L17" s="6" t="n">
        <v>68052</v>
      </c>
      <c r="M17" t="n">
        <v>2020</v>
      </c>
      <c r="N17" t="inlineStr">
        <is>
          <t>Full</t>
        </is>
      </c>
      <c r="O17" s="6" t="n">
        <v>21948000</v>
      </c>
      <c r="P17" s="6" t="n">
        <v>3587000</v>
      </c>
      <c r="Q17" s="6" t="n">
        <v>0</v>
      </c>
      <c r="R17" s="6" t="n">
        <v>1669000</v>
      </c>
      <c r="S17" s="6" t="n">
        <v>27204000</v>
      </c>
    </row>
    <row r="18">
      <c r="A18" t="inlineStr">
        <is>
          <t>13</t>
        </is>
      </c>
      <c r="B18" t="n">
        <v>1</v>
      </c>
      <c r="C18" t="inlineStr">
        <is>
          <t>Norwood Student Center 13</t>
        </is>
      </c>
      <c r="D18" t="inlineStr">
        <is>
          <t>230 College Ave</t>
        </is>
      </c>
      <c r="E18" t="inlineStr">
        <is>
          <t>State College</t>
        </is>
      </c>
      <c r="F18" t="inlineStr">
        <is>
          <t>PA</t>
        </is>
      </c>
      <c r="G18" t="inlineStr">
        <is>
          <t>15215</t>
        </is>
      </c>
      <c r="H18" t="inlineStr">
        <is>
          <t>Classroom</t>
        </is>
      </c>
      <c r="I18" t="inlineStr">
        <is>
          <t>Modified fire resistive</t>
        </is>
      </c>
      <c r="J18" t="n">
        <v>2010</v>
      </c>
      <c r="K18" t="n">
        <v>3</v>
      </c>
      <c r="L18" s="6" t="n">
        <v>90351</v>
      </c>
      <c r="M18" t="n">
        <v>2006</v>
      </c>
      <c r="N18" t="inlineStr">
        <is>
          <t>Full</t>
        </is>
      </c>
      <c r="O18" s="6" t="n">
        <v>26443000</v>
      </c>
      <c r="P18" s="6" t="n">
        <v>3419000</v>
      </c>
      <c r="Q18" s="6" t="n">
        <v>0</v>
      </c>
      <c r="R18" s="6" t="n">
        <v>1850000</v>
      </c>
      <c r="S18" s="6" t="n">
        <v>31712000</v>
      </c>
    </row>
    <row r="19">
      <c r="A19" t="inlineStr">
        <is>
          <t>14</t>
        </is>
      </c>
      <c r="B19" t="n">
        <v>1</v>
      </c>
      <c r="C19" t="inlineStr">
        <is>
          <t>Aldridge Engineering 14</t>
        </is>
      </c>
      <c r="D19" t="inlineStr">
        <is>
          <t>240 College Ave</t>
        </is>
      </c>
      <c r="E19" t="inlineStr">
        <is>
          <t>State College</t>
        </is>
      </c>
      <c r="F19" t="inlineStr">
        <is>
          <t>PA</t>
        </is>
      </c>
      <c r="G19" t="inlineStr">
        <is>
          <t>15296</t>
        </is>
      </c>
      <c r="H19" t="inlineStr">
        <is>
          <t>Classroom</t>
        </is>
      </c>
      <c r="I19" t="inlineStr">
        <is>
          <t>Fire resistive</t>
        </is>
      </c>
      <c r="J19" t="n">
        <v>1961</v>
      </c>
      <c r="K19" t="n">
        <v>5</v>
      </c>
      <c r="L19" s="6" t="n">
        <v>105408</v>
      </c>
      <c r="M19" t="n">
        <v>2007</v>
      </c>
      <c r="N19" t="inlineStr">
        <is>
          <t>Full</t>
        </is>
      </c>
      <c r="O19" s="6" t="n">
        <v>26726000</v>
      </c>
      <c r="P19" s="6" t="n">
        <v>3751000</v>
      </c>
      <c r="Q19" s="6" t="n">
        <v>0</v>
      </c>
      <c r="R19" s="6" t="n">
        <v>1953000</v>
      </c>
      <c r="S19" s="6" t="n">
        <v>32430000</v>
      </c>
    </row>
    <row r="20">
      <c r="A20" t="inlineStr">
        <is>
          <t>15</t>
        </is>
      </c>
      <c r="B20" t="n">
        <v>1</v>
      </c>
      <c r="C20" t="inlineStr">
        <is>
          <t>Birch Arts 15</t>
        </is>
      </c>
      <c r="D20" t="inlineStr">
        <is>
          <t>250 College Ave</t>
        </is>
      </c>
      <c r="E20" t="inlineStr">
        <is>
          <t>State College</t>
        </is>
      </c>
      <c r="F20" t="inlineStr">
        <is>
          <t>PA</t>
        </is>
      </c>
      <c r="G20" t="inlineStr">
        <is>
          <t>15264</t>
        </is>
      </c>
      <c r="H20" t="inlineStr">
        <is>
          <t>Classroom</t>
        </is>
      </c>
      <c r="I20" t="inlineStr">
        <is>
          <t>Masonry non-combustible</t>
        </is>
      </c>
      <c r="J20" t="n">
        <v>2001</v>
      </c>
      <c r="K20" t="n">
        <v>2</v>
      </c>
      <c r="L20" s="6" t="n">
        <v>54190</v>
      </c>
      <c r="M20" t="n">
        <v>2021</v>
      </c>
      <c r="N20" t="inlineStr">
        <is>
          <t>Full</t>
        </is>
      </c>
      <c r="O20" s="6" t="n">
        <v>18429000</v>
      </c>
      <c r="P20" s="6" t="n">
        <v>2907000</v>
      </c>
      <c r="Q20" s="6" t="n">
        <v>0</v>
      </c>
      <c r="R20" s="6" t="n">
        <v>1327000</v>
      </c>
      <c r="S20" s="6" t="n">
        <v>22663000</v>
      </c>
    </row>
    <row r="21">
      <c r="A21" t="inlineStr">
        <is>
          <t>16</t>
        </is>
      </c>
      <c r="B21" t="n">
        <v>1</v>
      </c>
      <c r="C21" t="inlineStr">
        <is>
          <t>Carver Hall 16</t>
        </is>
      </c>
      <c r="D21" t="inlineStr">
        <is>
          <t>260 College Ave</t>
        </is>
      </c>
      <c r="E21" t="inlineStr">
        <is>
          <t>State College</t>
        </is>
      </c>
      <c r="F21" t="inlineStr">
        <is>
          <t>PA</t>
        </is>
      </c>
      <c r="G21" t="inlineStr">
        <is>
          <t>15280</t>
        </is>
      </c>
      <c r="H21" t="inlineStr">
        <is>
          <t>Classroom</t>
        </is>
      </c>
      <c r="I21" t="inlineStr">
        <is>
          <t>Modified fire resistive</t>
        </is>
      </c>
      <c r="J21" t="n">
        <v>1943</v>
      </c>
      <c r="K21" t="n">
        <v>4</v>
      </c>
      <c r="L21" s="6" t="n">
        <v>44700</v>
      </c>
      <c r="M21" t="n">
        <v>2016</v>
      </c>
      <c r="N21" t="inlineStr">
        <is>
          <t>Partial</t>
        </is>
      </c>
      <c r="O21" s="6" t="n">
        <v>10893000</v>
      </c>
      <c r="P21" s="6" t="n">
        <v>1534000</v>
      </c>
      <c r="Q21" s="6" t="n">
        <v>0</v>
      </c>
      <c r="R21" s="6" t="n">
        <v>757000</v>
      </c>
      <c r="S21" s="6" t="n">
        <v>13184000</v>
      </c>
    </row>
    <row r="22">
      <c r="A22" t="inlineStr">
        <is>
          <t>17</t>
        </is>
      </c>
      <c r="B22" t="n">
        <v>1</v>
      </c>
      <c r="C22" t="inlineStr">
        <is>
          <t>Dunmore Library 17</t>
        </is>
      </c>
      <c r="D22" t="inlineStr">
        <is>
          <t>270 College Ave</t>
        </is>
      </c>
      <c r="E22" t="inlineStr">
        <is>
          <t>State College</t>
        </is>
      </c>
      <c r="F22" t="inlineStr">
        <is>
          <t>PA</t>
        </is>
      </c>
      <c r="G22" t="inlineStr">
        <is>
          <t>15232</t>
        </is>
      </c>
      <c r="H22" t="inlineStr">
        <is>
          <t>Library</t>
        </is>
      </c>
      <c r="I22" t="inlineStr">
        <is>
          <t>Masonry non-combustible</t>
        </is>
      </c>
      <c r="J22" t="n">
        <v>1971</v>
      </c>
      <c r="K22" t="n">
        <v>7</v>
      </c>
      <c r="L22" s="6" t="n">
        <v>74301</v>
      </c>
      <c r="M22" t="n">
        <v>2014</v>
      </c>
      <c r="N22" t="inlineStr">
        <is>
          <t>Full</t>
        </is>
      </c>
      <c r="O22" s="6" t="n">
        <v>22283000</v>
      </c>
      <c r="P22" s="6" t="n">
        <v>3026000</v>
      </c>
      <c r="Q22" s="6" t="n">
        <v>0</v>
      </c>
      <c r="R22" s="6" t="n">
        <v>1534000</v>
      </c>
      <c r="S22" s="6" t="n">
        <v>26843000</v>
      </c>
    </row>
    <row r="23">
      <c r="A23" t="inlineStr">
        <is>
          <t>18</t>
        </is>
      </c>
      <c r="B23" t="n">
        <v>1</v>
      </c>
      <c r="C23" t="inlineStr">
        <is>
          <t>Ellison Laboratory 18</t>
        </is>
      </c>
      <c r="D23" t="inlineStr">
        <is>
          <t>280 College Ave</t>
        </is>
      </c>
      <c r="E23" t="inlineStr">
        <is>
          <t>State College</t>
        </is>
      </c>
      <c r="F23" t="inlineStr">
        <is>
          <t>PA</t>
        </is>
      </c>
      <c r="G23" t="inlineStr">
        <is>
          <t>15213</t>
        </is>
      </c>
      <c r="H23" t="inlineStr">
        <is>
          <t>Laboratory</t>
        </is>
      </c>
      <c r="I23" t="inlineStr">
        <is>
          <t>Fire resistive</t>
        </is>
      </c>
      <c r="J23" t="n">
        <v>2015</v>
      </c>
      <c r="K23" t="n">
        <v>3</v>
      </c>
      <c r="L23" s="6" t="n">
        <v>39216</v>
      </c>
      <c r="M23" t="n">
        <v>2017</v>
      </c>
      <c r="N23" t="inlineStr">
        <is>
          <t>Full</t>
        </is>
      </c>
      <c r="O23" s="6" t="n">
        <v>9060000</v>
      </c>
      <c r="P23" s="6" t="n">
        <v>1325000</v>
      </c>
      <c r="Q23" s="6" t="n">
        <v>0</v>
      </c>
      <c r="R23" s="6" t="n">
        <v>661000</v>
      </c>
      <c r="S23" s="6" t="n">
        <v>11046000</v>
      </c>
    </row>
    <row r="24">
      <c r="A24" t="inlineStr">
        <is>
          <t>19</t>
        </is>
      </c>
      <c r="B24" t="n">
        <v>1</v>
      </c>
      <c r="C24" t="inlineStr">
        <is>
          <t>Fairway Residence Hall 19</t>
        </is>
      </c>
      <c r="D24" t="inlineStr">
        <is>
          <t>290 College Ave</t>
        </is>
      </c>
      <c r="E24" t="inlineStr">
        <is>
          <t>State College</t>
        </is>
      </c>
      <c r="F24" t="inlineStr">
        <is>
          <t>PA</t>
        </is>
      </c>
      <c r="G24" t="inlineStr">
        <is>
          <t>15284</t>
        </is>
      </c>
      <c r="H24" t="inlineStr">
        <is>
          <t>Dormitory</t>
        </is>
      </c>
      <c r="I24" t="inlineStr">
        <is>
          <t>Modified fire resistive</t>
        </is>
      </c>
      <c r="J24" t="n">
        <v>1927</v>
      </c>
      <c r="K24" t="n">
        <v>2</v>
      </c>
      <c r="L24" s="6" t="n">
        <v>26978</v>
      </c>
      <c r="M24" t="n">
        <v>2017</v>
      </c>
      <c r="N24" t="inlineStr">
        <is>
          <t>Partial</t>
        </is>
      </c>
      <c r="O24" s="6" t="n">
        <v>7184000</v>
      </c>
      <c r="P24" s="6" t="n">
        <v>1161000</v>
      </c>
      <c r="Q24" s="6" t="n">
        <v>0</v>
      </c>
      <c r="R24" s="6" t="n">
        <v>529000</v>
      </c>
      <c r="S24" s="6" t="n">
        <v>8874000</v>
      </c>
    </row>
    <row r="25">
      <c r="A25" t="inlineStr">
        <is>
          <t>20</t>
        </is>
      </c>
      <c r="B25" t="n">
        <v>1</v>
      </c>
      <c r="C25" t="inlineStr">
        <is>
          <t>Garrow Commons (joined)</t>
        </is>
      </c>
      <c r="D25" t="inlineStr">
        <is>
          <t>300 College Ave</t>
        </is>
      </c>
      <c r="E25" t="inlineStr">
        <is>
          <t>State College</t>
        </is>
      </c>
      <c r="F25" t="inlineStr">
        <is>
          <t>PA</t>
        </is>
      </c>
      <c r="G25" t="inlineStr">
        <is>
          <t>15256</t>
        </is>
      </c>
      <c r="H25" t="inlineStr">
        <is>
          <t>Classroom</t>
        </is>
      </c>
      <c r="I25" t="inlineStr">
        <is>
          <t>Modified fire resistive</t>
        </is>
      </c>
      <c r="J25" t="n">
        <v>1986</v>
      </c>
      <c r="K25" t="n">
        <v>2</v>
      </c>
      <c r="L25" s="6" t="n">
        <v>37057</v>
      </c>
      <c r="M25" t="n">
        <v>2005</v>
      </c>
      <c r="N25" t="inlineStr">
        <is>
          <t>Partial</t>
        </is>
      </c>
      <c r="O25" s="6" t="n">
        <v>12857000</v>
      </c>
      <c r="P25" s="6" t="n">
        <v>1758000</v>
      </c>
      <c r="Q25" s="6" t="n">
        <v>0</v>
      </c>
      <c r="R25" s="6" t="n">
        <v>886000</v>
      </c>
      <c r="S25" s="6" t="n">
        <v>15501000</v>
      </c>
    </row>
    <row r="26">
      <c r="A26" t="inlineStr">
        <is>
          <t>21</t>
        </is>
      </c>
      <c r="B26" t="n">
        <v>1</v>
      </c>
      <c r="C26" t="inlineStr">
        <is>
          <t>Hollis Student Center 21</t>
        </is>
      </c>
      <c r="D26" t="inlineStr">
        <is>
          <t>310 College Ave</t>
        </is>
      </c>
      <c r="E26" t="inlineStr">
        <is>
          <t>State College</t>
        </is>
      </c>
      <c r="F26" t="inlineStr">
        <is>
          <t>PA</t>
        </is>
      </c>
      <c r="G26" t="inlineStr">
        <is>
          <t>15279</t>
        </is>
      </c>
      <c r="H26" t="inlineStr">
        <is>
          <t>Classroom</t>
        </is>
      </c>
      <c r="I26" t="inlineStr">
        <is>
          <t>Fire resistive</t>
        </is>
      </c>
      <c r="J26" t="n">
        <v>1939</v>
      </c>
      <c r="K26" t="n">
        <v>3</v>
      </c>
      <c r="L26" s="6" t="n">
        <v>115833</v>
      </c>
      <c r="M26" t="n">
        <v>2006</v>
      </c>
      <c r="N26" t="inlineStr">
        <is>
          <t>Partial</t>
        </is>
      </c>
      <c r="O26" s="6" t="n">
        <v>34881000</v>
      </c>
      <c r="P26" s="6" t="n">
        <v>5607000</v>
      </c>
      <c r="Q26" s="6" t="n">
        <v>0</v>
      </c>
      <c r="R26" s="6" t="n">
        <v>2645000</v>
      </c>
      <c r="S26" s="6" t="n">
        <v>43133000</v>
      </c>
    </row>
    <row r="27">
      <c r="A27" t="inlineStr">
        <is>
          <t>22</t>
        </is>
      </c>
      <c r="B27" t="n">
        <v>1</v>
      </c>
      <c r="C27" t="inlineStr">
        <is>
          <t>Ingram Engineering 22</t>
        </is>
      </c>
      <c r="D27" t="inlineStr">
        <is>
          <t>320 College Ave</t>
        </is>
      </c>
      <c r="E27" t="inlineStr">
        <is>
          <t>State College</t>
        </is>
      </c>
      <c r="F27" t="inlineStr">
        <is>
          <t>PA</t>
        </is>
      </c>
      <c r="G27" t="inlineStr">
        <is>
          <t>15262</t>
        </is>
      </c>
      <c r="H27" t="inlineStr">
        <is>
          <t>Classroom</t>
        </is>
      </c>
      <c r="I27" t="inlineStr">
        <is>
          <t>Masonry non-combustible</t>
        </is>
      </c>
      <c r="J27" t="n">
        <v>1969</v>
      </c>
      <c r="K27" t="n">
        <v>6</v>
      </c>
      <c r="L27" s="6" t="n">
        <v>124383</v>
      </c>
      <c r="M27" t="n">
        <v>2019</v>
      </c>
      <c r="N27" t="inlineStr">
        <is>
          <t>Full</t>
        </is>
      </c>
      <c r="O27" s="6" t="n">
        <v>35750000</v>
      </c>
      <c r="P27" s="6" t="n">
        <v>4880000</v>
      </c>
      <c r="Q27" s="6" t="n">
        <v>0</v>
      </c>
      <c r="R27" s="6" t="n">
        <v>2731000</v>
      </c>
      <c r="S27" s="6" t="n">
        <v>43361000</v>
      </c>
    </row>
    <row r="28">
      <c r="A28" t="inlineStr">
        <is>
          <t>23</t>
        </is>
      </c>
      <c r="B28" t="n">
        <v>1</v>
      </c>
      <c r="C28" t="inlineStr">
        <is>
          <t>Juniper Arts 23</t>
        </is>
      </c>
      <c r="D28" t="inlineStr">
        <is>
          <t>330 College Ave</t>
        </is>
      </c>
      <c r="E28" t="inlineStr">
        <is>
          <t>State College</t>
        </is>
      </c>
      <c r="F28" t="inlineStr">
        <is>
          <t>PA</t>
        </is>
      </c>
      <c r="G28" t="inlineStr">
        <is>
          <t>15292</t>
        </is>
      </c>
      <c r="H28" t="inlineStr">
        <is>
          <t>Classroom</t>
        </is>
      </c>
      <c r="I28" t="inlineStr">
        <is>
          <t>Fire resistive</t>
        </is>
      </c>
      <c r="J28" t="n">
        <v>1932</v>
      </c>
      <c r="K28" t="n">
        <v>2</v>
      </c>
      <c r="L28" s="6" t="n">
        <v>57580</v>
      </c>
      <c r="M28" t="n">
        <v>2013</v>
      </c>
      <c r="N28" t="inlineStr">
        <is>
          <t>Partial</t>
        </is>
      </c>
      <c r="O28" s="6" t="n">
        <v>17156000</v>
      </c>
      <c r="P28" s="6" t="n">
        <v>2624000</v>
      </c>
      <c r="Q28" s="6" t="n">
        <v>0</v>
      </c>
      <c r="R28" s="6" t="n">
        <v>1306000</v>
      </c>
      <c r="S28" s="6" t="n">
        <v>21086000</v>
      </c>
    </row>
    <row r="29">
      <c r="A29" t="inlineStr">
        <is>
          <t>24</t>
        </is>
      </c>
      <c r="B29" t="n">
        <v>1</v>
      </c>
      <c r="C29" t="inlineStr">
        <is>
          <t>Kessler Hall 24</t>
        </is>
      </c>
      <c r="D29" t="inlineStr">
        <is>
          <t>340 College Ave</t>
        </is>
      </c>
      <c r="E29" t="inlineStr">
        <is>
          <t>State College</t>
        </is>
      </c>
      <c r="F29" t="inlineStr">
        <is>
          <t>PA</t>
        </is>
      </c>
      <c r="G29" t="inlineStr">
        <is>
          <t>15261</t>
        </is>
      </c>
      <c r="H29" t="inlineStr">
        <is>
          <t>Classroom</t>
        </is>
      </c>
      <c r="I29" t="inlineStr">
        <is>
          <t>Fire resistive</t>
        </is>
      </c>
      <c r="J29" t="n">
        <v>1944</v>
      </c>
      <c r="K29" t="n">
        <v>6</v>
      </c>
      <c r="L29" s="6" t="n">
        <v>114945</v>
      </c>
      <c r="M29" t="n">
        <v>2018</v>
      </c>
      <c r="N29" t="inlineStr">
        <is>
          <t>Partial</t>
        </is>
      </c>
      <c r="O29" s="6" t="n">
        <v>32836000</v>
      </c>
      <c r="P29" s="6" t="n">
        <v>5042000</v>
      </c>
      <c r="Q29" s="6" t="n">
        <v>0</v>
      </c>
      <c r="R29" s="6" t="n">
        <v>2667000</v>
      </c>
      <c r="S29" s="6" t="n">
        <v>40545000</v>
      </c>
    </row>
    <row r="30">
      <c r="A30" t="inlineStr">
        <is>
          <t>25</t>
        </is>
      </c>
      <c r="B30" t="n">
        <v>1</v>
      </c>
      <c r="C30" t="inlineStr">
        <is>
          <t>Lowell Library 25</t>
        </is>
      </c>
      <c r="D30" t="inlineStr">
        <is>
          <t>350 College Ave</t>
        </is>
      </c>
      <c r="E30" t="inlineStr">
        <is>
          <t>State College</t>
        </is>
      </c>
      <c r="F30" t="inlineStr">
        <is>
          <t>PA</t>
        </is>
      </c>
      <c r="G30" t="inlineStr">
        <is>
          <t>15256</t>
        </is>
      </c>
      <c r="H30" t="inlineStr">
        <is>
          <t>Library</t>
        </is>
      </c>
      <c r="I30" t="inlineStr">
        <is>
          <t>Modified fire resistive</t>
        </is>
      </c>
      <c r="J30" t="n">
        <v>2002</v>
      </c>
      <c r="K30" t="n">
        <v>3</v>
      </c>
      <c r="L30" s="6" t="n">
        <v>116780</v>
      </c>
      <c r="M30" t="n">
        <v>2006</v>
      </c>
      <c r="N30" t="inlineStr">
        <is>
          <t>Full</t>
        </is>
      </c>
      <c r="O30" s="6" t="n">
        <v>36681000</v>
      </c>
      <c r="P30" s="6" t="n">
        <v>5278000</v>
      </c>
      <c r="Q30" s="6" t="n">
        <v>0</v>
      </c>
      <c r="R30" s="6" t="n">
        <v>2537000</v>
      </c>
      <c r="S30" s="6" t="n">
        <v>44496000</v>
      </c>
    </row>
    <row r="31">
      <c r="A31" t="inlineStr">
        <is>
          <t>26</t>
        </is>
      </c>
      <c r="B31" t="n">
        <v>1</v>
      </c>
      <c r="C31" t="inlineStr">
        <is>
          <t>Marston Laboratory 26</t>
        </is>
      </c>
      <c r="D31" t="inlineStr">
        <is>
          <t>360 College Ave</t>
        </is>
      </c>
      <c r="E31" t="inlineStr">
        <is>
          <t>State College</t>
        </is>
      </c>
      <c r="F31" t="inlineStr">
        <is>
          <t>PA</t>
        </is>
      </c>
      <c r="G31" t="inlineStr">
        <is>
          <t>15201</t>
        </is>
      </c>
      <c r="H31" t="inlineStr">
        <is>
          <t>Laboratory</t>
        </is>
      </c>
      <c r="I31" t="inlineStr">
        <is>
          <t>Masonry non-combustible</t>
        </is>
      </c>
      <c r="J31" t="n">
        <v>1943</v>
      </c>
      <c r="K31" t="n">
        <v>4</v>
      </c>
      <c r="L31" s="6" t="n">
        <v>27838</v>
      </c>
      <c r="M31" t="n">
        <v>2004</v>
      </c>
      <c r="N31" t="inlineStr">
        <is>
          <t>Partial</t>
        </is>
      </c>
      <c r="O31" s="6" t="n">
        <v>6766000</v>
      </c>
      <c r="P31" s="6" t="n">
        <v>993000</v>
      </c>
      <c r="Q31" s="6" t="n">
        <v>0</v>
      </c>
      <c r="R31" s="6" t="n">
        <v>517000</v>
      </c>
      <c r="S31" s="6" t="n">
        <v>8276000</v>
      </c>
    </row>
    <row r="32">
      <c r="A32" t="inlineStr">
        <is>
          <t>27</t>
        </is>
      </c>
      <c r="B32" t="n">
        <v>1</v>
      </c>
      <c r="C32" t="inlineStr">
        <is>
          <t>Norwood Residence Hall 27</t>
        </is>
      </c>
      <c r="D32" t="inlineStr">
        <is>
          <t>370 College Ave</t>
        </is>
      </c>
      <c r="E32" t="inlineStr">
        <is>
          <t>State College</t>
        </is>
      </c>
      <c r="F32" t="inlineStr">
        <is>
          <t>PA</t>
        </is>
      </c>
      <c r="G32" t="inlineStr">
        <is>
          <t>15296</t>
        </is>
      </c>
      <c r="H32" t="inlineStr">
        <is>
          <t>Dormitory</t>
        </is>
      </c>
      <c r="I32" t="inlineStr">
        <is>
          <t>Fire resistive</t>
        </is>
      </c>
      <c r="J32" t="n">
        <v>1974</v>
      </c>
      <c r="K32" t="n">
        <v>2</v>
      </c>
      <c r="L32" s="6" t="n">
        <v>133215</v>
      </c>
      <c r="M32" t="n">
        <v>2018</v>
      </c>
      <c r="N32" t="inlineStr">
        <is>
          <t>Partial</t>
        </is>
      </c>
      <c r="O32" s="6" t="n">
        <v>38788000</v>
      </c>
      <c r="P32" s="6" t="n">
        <v>5705000</v>
      </c>
      <c r="Q32" s="6" t="n">
        <v>0</v>
      </c>
      <c r="R32" s="6" t="n">
        <v>2750000</v>
      </c>
      <c r="S32" s="6" t="n">
        <v>47243000</v>
      </c>
    </row>
    <row r="33">
      <c r="A33" t="inlineStr">
        <is>
          <t>28</t>
        </is>
      </c>
      <c r="B33" t="n">
        <v>1</v>
      </c>
      <c r="C33" t="inlineStr">
        <is>
          <t>Aldridge Athletics 28</t>
        </is>
      </c>
      <c r="D33" t="inlineStr">
        <is>
          <t>380 College Ave</t>
        </is>
      </c>
      <c r="E33" t="inlineStr">
        <is>
          <t>State College</t>
        </is>
      </c>
      <c r="F33" t="inlineStr">
        <is>
          <t>PA</t>
        </is>
      </c>
      <c r="G33" t="inlineStr">
        <is>
          <t>15298</t>
        </is>
      </c>
      <c r="H33" t="inlineStr">
        <is>
          <t>Classroom</t>
        </is>
      </c>
      <c r="I33" t="inlineStr">
        <is>
          <t>Masonry non-combustible</t>
        </is>
      </c>
      <c r="J33" t="n">
        <v>2003</v>
      </c>
      <c r="K33" t="n">
        <v>5</v>
      </c>
      <c r="L33" s="6" t="n">
        <v>111710</v>
      </c>
      <c r="M33" t="n">
        <v>2008</v>
      </c>
      <c r="N33" t="inlineStr">
        <is>
          <t>Partial</t>
        </is>
      </c>
      <c r="O33" s="6" t="n">
        <v>36065000</v>
      </c>
      <c r="P33" s="6" t="n">
        <v>5322000</v>
      </c>
      <c r="Q33" s="6" t="n">
        <v>0</v>
      </c>
      <c r="R33" s="6" t="n">
        <v>2555000</v>
      </c>
      <c r="S33" s="6" t="n">
        <v>43942000</v>
      </c>
    </row>
    <row r="34">
      <c r="A34" t="inlineStr">
        <is>
          <t>29</t>
        </is>
      </c>
      <c r="B34" t="n">
        <v>1</v>
      </c>
      <c r="C34" t="inlineStr">
        <is>
          <t>Birch Student Center 29</t>
        </is>
      </c>
      <c r="D34" t="inlineStr">
        <is>
          <t>390 College Ave</t>
        </is>
      </c>
      <c r="E34" t="inlineStr">
        <is>
          <t>State College</t>
        </is>
      </c>
      <c r="F34" t="inlineStr">
        <is>
          <t>PA</t>
        </is>
      </c>
      <c r="G34" t="inlineStr">
        <is>
          <t>15292</t>
        </is>
      </c>
      <c r="H34" t="inlineStr">
        <is>
          <t>Classroom</t>
        </is>
      </c>
      <c r="I34" t="inlineStr">
        <is>
          <t>Fire resistive</t>
        </is>
      </c>
      <c r="J34" t="n">
        <v>1961</v>
      </c>
      <c r="K34" t="n">
        <v>2</v>
      </c>
      <c r="L34" s="6" t="n">
        <v>89392</v>
      </c>
      <c r="M34" t="n">
        <v>2004</v>
      </c>
      <c r="N34" t="inlineStr">
        <is>
          <t>Full</t>
        </is>
      </c>
      <c r="O34" s="6" t="n">
        <v>23181000</v>
      </c>
      <c r="P34" s="6" t="n">
        <v>3198000</v>
      </c>
      <c r="Q34" s="6" t="n">
        <v>0</v>
      </c>
      <c r="R34" s="6" t="n">
        <v>1662000</v>
      </c>
      <c r="S34" s="6" t="n">
        <v>28041000</v>
      </c>
    </row>
    <row r="35">
      <c r="A35" t="inlineStr">
        <is>
          <t>30</t>
        </is>
      </c>
      <c r="B35" t="n">
        <v>1</v>
      </c>
      <c r="C35" t="inlineStr">
        <is>
          <t>Carver Engineering 30</t>
        </is>
      </c>
      <c r="D35" t="inlineStr">
        <is>
          <t>400 College Ave</t>
        </is>
      </c>
      <c r="E35" t="inlineStr">
        <is>
          <t>State College</t>
        </is>
      </c>
      <c r="F35" t="inlineStr">
        <is>
          <t>PA</t>
        </is>
      </c>
      <c r="G35" t="inlineStr">
        <is>
          <t>15264</t>
        </is>
      </c>
      <c r="H35" t="inlineStr">
        <is>
          <t>Classroom</t>
        </is>
      </c>
      <c r="I35" t="inlineStr">
        <is>
          <t>Fire resistive</t>
        </is>
      </c>
      <c r="J35" t="n">
        <v>1958</v>
      </c>
      <c r="K35" t="n">
        <v>5</v>
      </c>
      <c r="L35" s="6" t="n">
        <v>76225</v>
      </c>
      <c r="M35" t="n">
        <v>2014</v>
      </c>
      <c r="N35" t="inlineStr">
        <is>
          <t>Partial</t>
        </is>
      </c>
      <c r="O35" s="6" t="n">
        <v>23861000</v>
      </c>
      <c r="P35" s="6" t="n">
        <v>3595000</v>
      </c>
      <c r="Q35" s="6" t="n">
        <v>0</v>
      </c>
      <c r="R35" s="6" t="n">
        <v>1798000</v>
      </c>
      <c r="S35" s="6" t="n">
        <v>29254000</v>
      </c>
    </row>
    <row r="36">
      <c r="A36" t="inlineStr">
        <is>
          <t>31</t>
        </is>
      </c>
      <c r="B36" t="n">
        <v>1</v>
      </c>
      <c r="C36" t="inlineStr">
        <is>
          <t>Dunmore Arts 31</t>
        </is>
      </c>
      <c r="D36" t="inlineStr">
        <is>
          <t>410 College Ave</t>
        </is>
      </c>
      <c r="E36" t="inlineStr">
        <is>
          <t>State College</t>
        </is>
      </c>
      <c r="F36" t="inlineStr">
        <is>
          <t>PA</t>
        </is>
      </c>
      <c r="G36" t="inlineStr">
        <is>
          <t>15291</t>
        </is>
      </c>
      <c r="H36" t="inlineStr">
        <is>
          <t>Classroom</t>
        </is>
      </c>
      <c r="I36" t="inlineStr">
        <is>
          <t>Fire resistive</t>
        </is>
      </c>
      <c r="J36" t="n">
        <v>2013</v>
      </c>
      <c r="K36" t="n">
        <v>4</v>
      </c>
      <c r="L36" s="6" t="n">
        <v>23428</v>
      </c>
      <c r="M36" t="n">
        <v>2021</v>
      </c>
      <c r="N36" t="inlineStr">
        <is>
          <t>Full</t>
        </is>
      </c>
      <c r="O36" s="6" t="n">
        <v>5112000</v>
      </c>
      <c r="P36" s="6" t="n">
        <v>739000</v>
      </c>
      <c r="Q36" s="6" t="n">
        <v>0</v>
      </c>
      <c r="R36" s="6" t="n">
        <v>346000</v>
      </c>
      <c r="S36" s="6" t="n">
        <v>6197000</v>
      </c>
    </row>
    <row r="37">
      <c r="A37" t="inlineStr">
        <is>
          <t>32</t>
        </is>
      </c>
      <c r="B37" t="n">
        <v>1</v>
      </c>
      <c r="C37" t="inlineStr">
        <is>
          <t>Ellison Hall 32</t>
        </is>
      </c>
      <c r="D37" t="inlineStr">
        <is>
          <t>420 College Ave</t>
        </is>
      </c>
      <c r="E37" t="inlineStr">
        <is>
          <t>State College</t>
        </is>
      </c>
      <c r="F37" t="inlineStr">
        <is>
          <t>PA</t>
        </is>
      </c>
      <c r="G37" t="inlineStr">
        <is>
          <t>15216</t>
        </is>
      </c>
      <c r="H37" t="inlineStr">
        <is>
          <t>Classroom</t>
        </is>
      </c>
      <c r="I37" t="inlineStr">
        <is>
          <t>Masonry non-combustible</t>
        </is>
      </c>
      <c r="J37" t="n">
        <v>1987</v>
      </c>
      <c r="K37" t="n">
        <v>6</v>
      </c>
      <c r="L37" s="6" t="n">
        <v>56683</v>
      </c>
      <c r="M37" t="n">
        <v>2012</v>
      </c>
      <c r="N37" t="inlineStr">
        <is>
          <t>Full</t>
        </is>
      </c>
      <c r="O37" s="6" t="n">
        <v>16717000</v>
      </c>
      <c r="P37" s="6" t="n">
        <v>2535000</v>
      </c>
      <c r="Q37" s="6" t="n">
        <v>0</v>
      </c>
      <c r="R37" s="6" t="n">
        <v>1258000</v>
      </c>
      <c r="S37" s="6" t="n">
        <v>20510000</v>
      </c>
    </row>
    <row r="38">
      <c r="A38" t="inlineStr">
        <is>
          <t>33</t>
        </is>
      </c>
      <c r="B38" t="n">
        <v>1</v>
      </c>
      <c r="C38" t="inlineStr">
        <is>
          <t>Fairway Library 33</t>
        </is>
      </c>
      <c r="D38" t="inlineStr">
        <is>
          <t>430 College Ave</t>
        </is>
      </c>
      <c r="E38" t="inlineStr">
        <is>
          <t>State College</t>
        </is>
      </c>
      <c r="F38" t="inlineStr">
        <is>
          <t>PA</t>
        </is>
      </c>
      <c r="G38" t="inlineStr">
        <is>
          <t>15206</t>
        </is>
      </c>
      <c r="H38" t="inlineStr">
        <is>
          <t>Library</t>
        </is>
      </c>
      <c r="I38" t="inlineStr">
        <is>
          <t>Modified fire resistive</t>
        </is>
      </c>
      <c r="J38" t="n">
        <v>2008</v>
      </c>
      <c r="K38" t="n">
        <v>5</v>
      </c>
      <c r="L38" s="6" t="n">
        <v>25187</v>
      </c>
      <c r="M38" t="n">
        <v>2006</v>
      </c>
      <c r="N38" t="inlineStr">
        <is>
          <t>Partial</t>
        </is>
      </c>
      <c r="O38" s="6" t="n">
        <v>8669000</v>
      </c>
      <c r="P38" s="6" t="n">
        <v>1278000</v>
      </c>
      <c r="Q38" s="6" t="n">
        <v>0</v>
      </c>
      <c r="R38" s="6" t="n">
        <v>611000</v>
      </c>
      <c r="S38" s="6" t="n">
        <v>10558000</v>
      </c>
    </row>
    <row r="39">
      <c r="A39" t="inlineStr">
        <is>
          <t>34</t>
        </is>
      </c>
      <c r="B39" t="n">
        <v>1</v>
      </c>
      <c r="C39" t="inlineStr">
        <is>
          <t>Garrow Laboratory 34</t>
        </is>
      </c>
      <c r="D39" t="inlineStr">
        <is>
          <t>440 College Ave</t>
        </is>
      </c>
      <c r="E39" t="inlineStr">
        <is>
          <t>State College</t>
        </is>
      </c>
      <c r="F39" t="inlineStr">
        <is>
          <t>PA</t>
        </is>
      </c>
      <c r="G39" t="inlineStr">
        <is>
          <t>15228</t>
        </is>
      </c>
      <c r="H39" t="inlineStr">
        <is>
          <t>Laboratory</t>
        </is>
      </c>
      <c r="I39" t="inlineStr">
        <is>
          <t>Masonry non-combustible</t>
        </is>
      </c>
      <c r="J39" t="n">
        <v>1961</v>
      </c>
      <c r="K39" t="n">
        <v>5</v>
      </c>
      <c r="L39" s="6" t="n">
        <v>27167</v>
      </c>
      <c r="M39" t="n">
        <v>2015</v>
      </c>
      <c r="N39" t="inlineStr">
        <is>
          <t>Partial</t>
        </is>
      </c>
      <c r="O39" s="6" t="n">
        <v>8831000</v>
      </c>
      <c r="P39" s="6" t="n">
        <v>1286000</v>
      </c>
      <c r="Q39" s="6" t="n">
        <v>0</v>
      </c>
      <c r="R39" s="6" t="n">
        <v>591000</v>
      </c>
      <c r="S39" s="6" t="n">
        <v>10708000</v>
      </c>
    </row>
    <row r="40">
      <c r="A40" t="inlineStr">
        <is>
          <t>35</t>
        </is>
      </c>
      <c r="B40" t="n">
        <v>1</v>
      </c>
      <c r="C40" t="inlineStr">
        <is>
          <t>Hollis Residence Hall 35</t>
        </is>
      </c>
      <c r="D40" t="inlineStr">
        <is>
          <t>450 College Ave</t>
        </is>
      </c>
      <c r="E40" t="inlineStr">
        <is>
          <t>State College</t>
        </is>
      </c>
      <c r="F40" t="inlineStr">
        <is>
          <t>PA</t>
        </is>
      </c>
      <c r="G40" t="inlineStr">
        <is>
          <t>15292</t>
        </is>
      </c>
      <c r="H40" t="inlineStr">
        <is>
          <t>Dormitory</t>
        </is>
      </c>
      <c r="I40" t="inlineStr">
        <is>
          <t>Modified fire resistive</t>
        </is>
      </c>
      <c r="J40" t="n">
        <v>1977</v>
      </c>
      <c r="K40" t="n">
        <v>3</v>
      </c>
      <c r="L40" s="6" t="n">
        <v>117054</v>
      </c>
      <c r="M40" t="n">
        <v>2019</v>
      </c>
      <c r="N40" t="inlineStr">
        <is>
          <t>Full</t>
        </is>
      </c>
      <c r="O40" s="6" t="n">
        <v>31381000</v>
      </c>
      <c r="P40" s="6" t="n">
        <v>4737000</v>
      </c>
      <c r="Q40" s="6" t="n">
        <v>0</v>
      </c>
      <c r="R40" s="6" t="n">
        <v>2498000</v>
      </c>
      <c r="S40" s="6" t="n">
        <v>38616000</v>
      </c>
    </row>
    <row r="41">
      <c r="A41" t="inlineStr">
        <is>
          <t>36</t>
        </is>
      </c>
      <c r="B41" t="n">
        <v>1</v>
      </c>
      <c r="C41" t="inlineStr">
        <is>
          <t>Ingram Athletics 36</t>
        </is>
      </c>
      <c r="D41" t="inlineStr">
        <is>
          <t>460 College Ave</t>
        </is>
      </c>
      <c r="E41" t="inlineStr">
        <is>
          <t>State College</t>
        </is>
      </c>
      <c r="F41" t="inlineStr">
        <is>
          <t>PA</t>
        </is>
      </c>
      <c r="G41" t="inlineStr">
        <is>
          <t>15257</t>
        </is>
      </c>
      <c r="H41" t="inlineStr">
        <is>
          <t>Classroom</t>
        </is>
      </c>
      <c r="I41" t="inlineStr">
        <is>
          <t>Modified fire resistive</t>
        </is>
      </c>
      <c r="J41" t="n">
        <v>1969</v>
      </c>
      <c r="K41" t="n">
        <v>6</v>
      </c>
      <c r="L41" s="6" t="n">
        <v>137334</v>
      </c>
      <c r="M41" t="n">
        <v>2007</v>
      </c>
      <c r="N41" t="inlineStr">
        <is>
          <t>Partial</t>
        </is>
      </c>
      <c r="O41" s="6" t="n">
        <v>36269000</v>
      </c>
      <c r="P41" s="6" t="n">
        <v>5707000</v>
      </c>
      <c r="Q41" s="6" t="n">
        <v>0</v>
      </c>
      <c r="R41" s="6" t="n">
        <v>2664000</v>
      </c>
      <c r="S41" s="6" t="n">
        <v>44640000</v>
      </c>
    </row>
    <row r="42">
      <c r="A42" t="inlineStr">
        <is>
          <t>37</t>
        </is>
      </c>
      <c r="B42" t="n">
        <v>1</v>
      </c>
      <c r="C42" t="inlineStr">
        <is>
          <t>Juniper Student Center 37</t>
        </is>
      </c>
      <c r="D42" t="inlineStr">
        <is>
          <t>470 College Ave</t>
        </is>
      </c>
      <c r="E42" t="inlineStr">
        <is>
          <t>State College</t>
        </is>
      </c>
      <c r="F42" t="inlineStr">
        <is>
          <t>PA</t>
        </is>
      </c>
      <c r="G42" t="inlineStr">
        <is>
          <t>15237</t>
        </is>
      </c>
      <c r="H42" t="inlineStr">
        <is>
          <t>Classroom</t>
        </is>
      </c>
      <c r="I42" t="inlineStr">
        <is>
          <t>Masonry non-combustible</t>
        </is>
      </c>
      <c r="J42" t="n">
        <v>1958</v>
      </c>
      <c r="K42" t="n">
        <v>7</v>
      </c>
      <c r="L42" s="6" t="n">
        <v>59250</v>
      </c>
      <c r="M42" t="n">
        <v>2017</v>
      </c>
      <c r="N42" t="inlineStr">
        <is>
          <t>Full</t>
        </is>
      </c>
      <c r="O42" s="6" t="n">
        <v>18182000</v>
      </c>
      <c r="P42" s="6" t="n">
        <v>2589000</v>
      </c>
      <c r="Q42" s="6" t="n">
        <v>0</v>
      </c>
      <c r="R42" s="6" t="n">
        <v>1294000</v>
      </c>
      <c r="S42" s="6" t="n">
        <v>22065000</v>
      </c>
    </row>
    <row r="43">
      <c r="A43" t="inlineStr">
        <is>
          <t>38</t>
        </is>
      </c>
      <c r="B43" t="n">
        <v>1</v>
      </c>
      <c r="C43" t="inlineStr">
        <is>
          <t>Kessler Engineering 38</t>
        </is>
      </c>
      <c r="D43" t="inlineStr">
        <is>
          <t>480 College Ave</t>
        </is>
      </c>
      <c r="E43" t="inlineStr">
        <is>
          <t>State College</t>
        </is>
      </c>
      <c r="F43" t="inlineStr">
        <is>
          <t>PA</t>
        </is>
      </c>
      <c r="G43" t="inlineStr">
        <is>
          <t>15228</t>
        </is>
      </c>
      <c r="H43" t="inlineStr">
        <is>
          <t>Classroom</t>
        </is>
      </c>
      <c r="I43" t="inlineStr">
        <is>
          <t>Fire resistive</t>
        </is>
      </c>
      <c r="J43" t="n">
        <v>1986</v>
      </c>
      <c r="K43" t="n">
        <v>3</v>
      </c>
      <c r="L43" s="6" t="n">
        <v>129946</v>
      </c>
      <c r="M43" t="n">
        <v>2006</v>
      </c>
      <c r="N43" t="inlineStr">
        <is>
          <t>Full</t>
        </is>
      </c>
      <c r="O43" s="6" t="n">
        <v>32002000</v>
      </c>
      <c r="P43" s="6" t="n">
        <v>4695000</v>
      </c>
      <c r="Q43" s="6" t="n">
        <v>0</v>
      </c>
      <c r="R43" s="6" t="n">
        <v>2553000</v>
      </c>
      <c r="S43" s="6" t="n">
        <v>39250000</v>
      </c>
    </row>
    <row r="44">
      <c r="A44" t="inlineStr">
        <is>
          <t>39</t>
        </is>
      </c>
      <c r="B44" t="n">
        <v>1</v>
      </c>
      <c r="C44" t="inlineStr">
        <is>
          <t>Lowell Arts 39</t>
        </is>
      </c>
      <c r="D44" t="inlineStr">
        <is>
          <t>490 College Ave</t>
        </is>
      </c>
      <c r="E44" t="inlineStr">
        <is>
          <t>State College</t>
        </is>
      </c>
      <c r="F44" t="inlineStr">
        <is>
          <t>PA</t>
        </is>
      </c>
      <c r="G44" t="inlineStr">
        <is>
          <t>15284</t>
        </is>
      </c>
      <c r="H44" t="inlineStr">
        <is>
          <t>Classroom</t>
        </is>
      </c>
      <c r="I44" t="inlineStr">
        <is>
          <t>Modified fire resistive</t>
        </is>
      </c>
      <c r="J44" t="n">
        <v>1999</v>
      </c>
      <c r="K44" t="n">
        <v>3</v>
      </c>
      <c r="L44" s="6" t="n">
        <v>37150</v>
      </c>
      <c r="M44" t="n">
        <v>2010</v>
      </c>
      <c r="N44" t="inlineStr">
        <is>
          <t>Partial</t>
        </is>
      </c>
      <c r="O44" s="6" t="n">
        <v>9965000</v>
      </c>
      <c r="P44" s="6" t="n">
        <v>1292000</v>
      </c>
      <c r="Q44" s="6" t="n">
        <v>0</v>
      </c>
      <c r="R44" s="6" t="n">
        <v>725000</v>
      </c>
      <c r="S44" s="6" t="n">
        <v>11982000</v>
      </c>
    </row>
    <row r="45">
      <c r="A45" t="inlineStr">
        <is>
          <t>40</t>
        </is>
      </c>
      <c r="B45" t="n">
        <v>1</v>
      </c>
      <c r="C45" t="inlineStr">
        <is>
          <t>Marston Hall 40</t>
        </is>
      </c>
      <c r="D45" t="inlineStr">
        <is>
          <t>500 College Ave</t>
        </is>
      </c>
      <c r="E45" t="inlineStr">
        <is>
          <t>State College</t>
        </is>
      </c>
      <c r="F45" t="inlineStr">
        <is>
          <t>PA</t>
        </is>
      </c>
      <c r="G45" t="inlineStr">
        <is>
          <t>15201</t>
        </is>
      </c>
      <c r="H45" t="inlineStr">
        <is>
          <t>Classroom</t>
        </is>
      </c>
      <c r="I45" t="inlineStr">
        <is>
          <t>Fire resistive</t>
        </is>
      </c>
      <c r="J45" t="n">
        <v>2008</v>
      </c>
      <c r="K45" t="n">
        <v>3</v>
      </c>
      <c r="L45" s="6" t="n">
        <v>34367</v>
      </c>
      <c r="M45" t="n">
        <v>2005</v>
      </c>
      <c r="N45" t="inlineStr">
        <is>
          <t>Full</t>
        </is>
      </c>
      <c r="O45" s="6" t="n">
        <v>9100000</v>
      </c>
      <c r="P45" s="6" t="n">
        <v>1332000</v>
      </c>
      <c r="Q45" s="6" t="n">
        <v>0</v>
      </c>
      <c r="R45" s="6" t="n">
        <v>657000</v>
      </c>
      <c r="S45" s="6" t="n">
        <v>11089000</v>
      </c>
    </row>
    <row r="46">
      <c r="A46" t="inlineStr">
        <is>
          <t>41</t>
        </is>
      </c>
      <c r="B46" t="n">
        <v>1</v>
      </c>
      <c r="C46" t="inlineStr">
        <is>
          <t>Norwood Library 41</t>
        </is>
      </c>
      <c r="D46" t="inlineStr">
        <is>
          <t>510 College Ave</t>
        </is>
      </c>
      <c r="E46" t="inlineStr">
        <is>
          <t>State College</t>
        </is>
      </c>
      <c r="F46" t="inlineStr">
        <is>
          <t>PA</t>
        </is>
      </c>
      <c r="G46" t="inlineStr">
        <is>
          <t>15204</t>
        </is>
      </c>
      <c r="H46" t="inlineStr">
        <is>
          <t>Library</t>
        </is>
      </c>
      <c r="I46" t="inlineStr">
        <is>
          <t>Modified fire resistive</t>
        </is>
      </c>
      <c r="J46" t="n">
        <v>1968</v>
      </c>
      <c r="K46" t="n">
        <v>5</v>
      </c>
      <c r="L46" s="6" t="n">
        <v>64212</v>
      </c>
      <c r="M46" t="n">
        <v>2020</v>
      </c>
      <c r="N46" t="inlineStr">
        <is>
          <t>Full</t>
        </is>
      </c>
      <c r="O46" s="6" t="n">
        <v>15395000</v>
      </c>
      <c r="P46" s="6" t="n">
        <v>2350000</v>
      </c>
      <c r="Q46" s="6" t="n">
        <v>0</v>
      </c>
      <c r="R46" s="6" t="n">
        <v>1252000</v>
      </c>
      <c r="S46" s="6" t="n">
        <v>18997000</v>
      </c>
    </row>
    <row r="47">
      <c r="A47" s="7" t="inlineStr">
        <is>
          <t>TOTAL</t>
        </is>
      </c>
      <c r="O47" s="8">
        <f>SUM(O6:O46)</f>
        <v/>
      </c>
      <c r="P47" s="8">
        <f>SUM(P6:P46)</f>
        <v/>
      </c>
      <c r="Q47" s="8">
        <f>SUM(Q6:Q46)</f>
        <v/>
      </c>
      <c r="R47" s="8">
        <f>SUM(R6:R46)</f>
        <v/>
      </c>
      <c r="S47" s="8">
        <f>SUM(S6:S46)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