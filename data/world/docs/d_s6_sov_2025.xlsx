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Ember &amp; Oak Restaurant Group — Statement of Values</t>
        </is>
      </c>
    </row>
    <row r="2">
      <c r="A2" s="2" t="inlineStr">
        <is>
          <t>Values as of 2025-08-16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Ember &amp; Oak #01 Austin</t>
        </is>
      </c>
      <c r="C6" t="inlineStr">
        <is>
          <t>812 Quarry Rd</t>
        </is>
      </c>
      <c r="D6" t="inlineStr">
        <is>
          <t>Austin</t>
        </is>
      </c>
      <c r="E6" t="inlineStr">
        <is>
          <t>TX</t>
        </is>
      </c>
      <c r="F6" t="inlineStr">
        <is>
          <t>75043</t>
        </is>
      </c>
      <c r="G6" t="inlineStr">
        <is>
          <t>Full service restaurant</t>
        </is>
      </c>
      <c r="H6" t="inlineStr">
        <is>
          <t>Joisted masonry</t>
        </is>
      </c>
      <c r="I6" t="n">
        <v>2011</v>
      </c>
      <c r="J6" t="n">
        <v>1</v>
      </c>
      <c r="K6" s="6" t="n">
        <v>6095</v>
      </c>
      <c r="L6" t="n">
        <v>2020</v>
      </c>
      <c r="M6" t="n">
        <v>100</v>
      </c>
      <c r="N6" s="6" t="n">
        <v>1239000</v>
      </c>
      <c r="O6" s="6" t="n">
        <v>468000</v>
      </c>
      <c r="P6" s="6" t="n">
        <v>117000</v>
      </c>
      <c r="Q6" s="6" t="n">
        <v>434000</v>
      </c>
      <c r="R6" s="6" t="n">
        <v>2258000</v>
      </c>
    </row>
    <row r="7">
      <c r="A7" t="inlineStr">
        <is>
          <t>2</t>
        </is>
      </c>
      <c r="B7" t="inlineStr">
        <is>
          <t>Ember &amp; Oak #02 Dallas</t>
        </is>
      </c>
      <c r="C7" t="inlineStr">
        <is>
          <t>3574 Industrial Pkwy</t>
        </is>
      </c>
      <c r="D7" t="inlineStr">
        <is>
          <t>Dallas</t>
        </is>
      </c>
      <c r="E7" t="inlineStr">
        <is>
          <t>TX</t>
        </is>
      </c>
      <c r="F7" t="inlineStr">
        <is>
          <t>75022</t>
        </is>
      </c>
      <c r="G7" t="inlineStr">
        <is>
          <t>Full service restaurant</t>
        </is>
      </c>
      <c r="H7" t="inlineStr">
        <is>
          <t>Joisted masonry</t>
        </is>
      </c>
      <c r="I7" t="n">
        <v>2015</v>
      </c>
      <c r="J7" t="n">
        <v>1</v>
      </c>
      <c r="K7" s="6" t="n">
        <v>5491</v>
      </c>
      <c r="L7" t="n">
        <v>2020</v>
      </c>
      <c r="M7" t="n">
        <v>0</v>
      </c>
      <c r="N7" s="6" t="n">
        <v>1646000</v>
      </c>
      <c r="O7" s="6" t="n">
        <v>674000</v>
      </c>
      <c r="P7" s="6" t="n">
        <v>144000</v>
      </c>
      <c r="Q7" s="6" t="n">
        <v>568000</v>
      </c>
      <c r="R7" s="6" t="n">
        <v>3032000</v>
      </c>
    </row>
    <row r="8">
      <c r="A8" t="inlineStr">
        <is>
          <t>3</t>
        </is>
      </c>
      <c r="B8" t="inlineStr">
        <is>
          <t>Ember &amp; Oak #03 Houston</t>
        </is>
      </c>
      <c r="C8" t="inlineStr">
        <is>
          <t>8182 Industrial Pkwy</t>
        </is>
      </c>
      <c r="D8" t="inlineStr">
        <is>
          <t>Houston</t>
        </is>
      </c>
      <c r="E8" t="inlineStr">
        <is>
          <t>TX</t>
        </is>
      </c>
      <c r="F8" t="inlineStr">
        <is>
          <t>75009</t>
        </is>
      </c>
      <c r="G8" t="inlineStr">
        <is>
          <t>Full service restaurant</t>
        </is>
      </c>
      <c r="H8" t="inlineStr">
        <is>
          <t>Non-combustible</t>
        </is>
      </c>
      <c r="I8" t="n">
        <v>1994</v>
      </c>
      <c r="J8" t="n">
        <v>1</v>
      </c>
      <c r="K8" s="6" t="n">
        <v>5324</v>
      </c>
      <c r="L8" t="n">
        <v>2010</v>
      </c>
      <c r="M8" t="n">
        <v>0</v>
      </c>
      <c r="N8" s="6" t="n">
        <v>1247000</v>
      </c>
      <c r="O8" s="6" t="n">
        <v>512000</v>
      </c>
      <c r="P8" s="6" t="n">
        <v>108000</v>
      </c>
      <c r="Q8" s="6" t="n">
        <v>425000</v>
      </c>
      <c r="R8" s="6" t="n">
        <v>2292000</v>
      </c>
    </row>
    <row r="9">
      <c r="A9" t="inlineStr">
        <is>
          <t>4</t>
        </is>
      </c>
      <c r="B9" t="inlineStr">
        <is>
          <t>Ember &amp; Oak #04 Atlanta</t>
        </is>
      </c>
      <c r="C9" t="inlineStr">
        <is>
          <t>4058 Foundry St</t>
        </is>
      </c>
      <c r="D9" t="inlineStr">
        <is>
          <t>Atlanta</t>
        </is>
      </c>
      <c r="E9" t="inlineStr">
        <is>
          <t>GA</t>
        </is>
      </c>
      <c r="F9" t="inlineStr">
        <is>
          <t>30365</t>
        </is>
      </c>
      <c r="G9" t="inlineStr">
        <is>
          <t>Full service restaurant</t>
        </is>
      </c>
      <c r="H9" t="inlineStr">
        <is>
          <t>Joisted masonry</t>
        </is>
      </c>
      <c r="I9" t="n">
        <v>1995</v>
      </c>
      <c r="J9" t="n">
        <v>1</v>
      </c>
      <c r="K9" s="6" t="n">
        <v>4538</v>
      </c>
      <c r="L9" t="n">
        <v>2011</v>
      </c>
      <c r="M9" t="n">
        <v>100</v>
      </c>
      <c r="N9" s="6" t="n">
        <v>1237000</v>
      </c>
      <c r="O9" s="6" t="n">
        <v>518000</v>
      </c>
      <c r="P9" s="6" t="n">
        <v>115000</v>
      </c>
      <c r="Q9" s="6" t="n">
        <v>405000</v>
      </c>
      <c r="R9" s="6" t="n">
        <v>2275000</v>
      </c>
    </row>
    <row r="10">
      <c r="A10" t="inlineStr">
        <is>
          <t>5</t>
        </is>
      </c>
      <c r="B10" t="inlineStr">
        <is>
          <t>Ember &amp; Oak #05 Nashville</t>
        </is>
      </c>
      <c r="C10" t="inlineStr">
        <is>
          <t>4354 Beacon Hill Rd</t>
        </is>
      </c>
      <c r="D10" t="inlineStr">
        <is>
          <t>Nashville</t>
        </is>
      </c>
      <c r="E10" t="inlineStr">
        <is>
          <t>TN</t>
        </is>
      </c>
      <c r="F10" t="inlineStr">
        <is>
          <t>37225</t>
        </is>
      </c>
      <c r="G10" t="inlineStr">
        <is>
          <t>Full service restaurant</t>
        </is>
      </c>
      <c r="H10" t="inlineStr">
        <is>
          <t>Joisted masonry</t>
        </is>
      </c>
      <c r="I10" t="n">
        <v>2011</v>
      </c>
      <c r="J10" t="n">
        <v>1</v>
      </c>
      <c r="K10" s="6" t="n">
        <v>7514</v>
      </c>
      <c r="L10" t="n">
        <v>2016</v>
      </c>
      <c r="M10" t="n">
        <v>100</v>
      </c>
      <c r="N10" s="6" t="n">
        <v>1756000</v>
      </c>
      <c r="O10" s="6" t="n">
        <v>719000</v>
      </c>
      <c r="P10" s="6" t="n">
        <v>167000</v>
      </c>
      <c r="Q10" s="6" t="n">
        <v>584000</v>
      </c>
      <c r="R10" s="6" t="n">
        <v>3226000</v>
      </c>
    </row>
    <row r="11">
      <c r="A11" t="inlineStr">
        <is>
          <t>6</t>
        </is>
      </c>
      <c r="B11" t="inlineStr">
        <is>
          <t>Ember &amp; Oak #06 Charlotte</t>
        </is>
      </c>
      <c r="C11" t="inlineStr">
        <is>
          <t>1944 Ironworks Rd</t>
        </is>
      </c>
      <c r="D11" t="inlineStr">
        <is>
          <t>Charlotte</t>
        </is>
      </c>
      <c r="E11" t="inlineStr">
        <is>
          <t>NC</t>
        </is>
      </c>
      <c r="F11" t="inlineStr">
        <is>
          <t>28475</t>
        </is>
      </c>
      <c r="G11" t="inlineStr">
        <is>
          <t>Full service restaurant</t>
        </is>
      </c>
      <c r="H11" t="inlineStr">
        <is>
          <t>Non-combustible</t>
        </is>
      </c>
      <c r="I11" t="n">
        <v>1999</v>
      </c>
      <c r="J11" t="n">
        <v>1</v>
      </c>
      <c r="K11" s="6" t="n">
        <v>5551</v>
      </c>
      <c r="L11" t="n">
        <v>2017</v>
      </c>
      <c r="M11" t="n">
        <v>0</v>
      </c>
      <c r="N11" s="6" t="n">
        <v>1098000</v>
      </c>
      <c r="O11" s="6" t="n">
        <v>448000</v>
      </c>
      <c r="P11" s="6" t="n">
        <v>96000</v>
      </c>
      <c r="Q11" s="6" t="n">
        <v>343000</v>
      </c>
      <c r="R11" s="6" t="n">
        <v>1985000</v>
      </c>
    </row>
    <row r="12">
      <c r="A12" t="inlineStr">
        <is>
          <t>7</t>
        </is>
      </c>
      <c r="B12" t="inlineStr">
        <is>
          <t>Ember &amp; Oak #07 Tampa</t>
        </is>
      </c>
      <c r="C12" t="inlineStr">
        <is>
          <t>903 Harbor Point Dr</t>
        </is>
      </c>
      <c r="D12" t="inlineStr">
        <is>
          <t>Tampa</t>
        </is>
      </c>
      <c r="E12" t="inlineStr">
        <is>
          <t>FL</t>
        </is>
      </c>
      <c r="F12" t="inlineStr">
        <is>
          <t>33687</t>
        </is>
      </c>
      <c r="G12" t="inlineStr">
        <is>
          <t>Full service restaurant</t>
        </is>
      </c>
      <c r="H12" t="inlineStr">
        <is>
          <t>Non-combustible</t>
        </is>
      </c>
      <c r="I12" t="n">
        <v>2006</v>
      </c>
      <c r="J12" t="n">
        <v>1</v>
      </c>
      <c r="K12" s="6" t="n">
        <v>5096</v>
      </c>
      <c r="L12" t="n">
        <v>2010</v>
      </c>
      <c r="M12" t="n">
        <v>100</v>
      </c>
      <c r="N12" s="6" t="n">
        <v>1710000</v>
      </c>
      <c r="O12" s="6" t="n">
        <v>739000</v>
      </c>
      <c r="P12" s="6" t="n">
        <v>149000</v>
      </c>
      <c r="Q12" s="6" t="n">
        <v>609000</v>
      </c>
      <c r="R12" s="6" t="n">
        <v>3207000</v>
      </c>
    </row>
    <row r="13">
      <c r="A13" t="inlineStr">
        <is>
          <t>8</t>
        </is>
      </c>
      <c r="B13" t="inlineStr">
        <is>
          <t>Ember &amp; Oak #08 Fort Worth</t>
        </is>
      </c>
      <c r="C13" t="inlineStr">
        <is>
          <t>7860 Palisade Ave</t>
        </is>
      </c>
      <c r="D13" t="inlineStr">
        <is>
          <t>Fort Worth</t>
        </is>
      </c>
      <c r="E13" t="inlineStr">
        <is>
          <t>TX</t>
        </is>
      </c>
      <c r="F13" t="inlineStr">
        <is>
          <t>75005</t>
        </is>
      </c>
      <c r="G13" t="inlineStr">
        <is>
          <t>Full service restaurant</t>
        </is>
      </c>
      <c r="H13" t="inlineStr">
        <is>
          <t>Joisted masonry</t>
        </is>
      </c>
      <c r="I13" t="n">
        <v>2001</v>
      </c>
      <c r="J13" t="n">
        <v>1</v>
      </c>
      <c r="K13" s="6" t="n">
        <v>6807</v>
      </c>
      <c r="L13" t="n">
        <v>2018</v>
      </c>
      <c r="M13" t="n">
        <v>0</v>
      </c>
      <c r="N13" s="6" t="n">
        <v>1643000</v>
      </c>
      <c r="O13" s="6" t="n">
        <v>619000</v>
      </c>
      <c r="P13" s="6" t="n">
        <v>139000</v>
      </c>
      <c r="Q13" s="6" t="n">
        <v>550000</v>
      </c>
      <c r="R13" s="6" t="n">
        <v>2951000</v>
      </c>
    </row>
    <row r="14">
      <c r="A14" t="inlineStr">
        <is>
          <t>9</t>
        </is>
      </c>
      <c r="B14" t="inlineStr">
        <is>
          <t>Ember &amp; Oak #09 Denver</t>
        </is>
      </c>
      <c r="C14" t="inlineStr">
        <is>
          <t>2434 Orchard Park Dr</t>
        </is>
      </c>
      <c r="D14" t="inlineStr">
        <is>
          <t>Denver</t>
        </is>
      </c>
      <c r="E14" t="inlineStr">
        <is>
          <t>CO</t>
        </is>
      </c>
      <c r="F14" t="inlineStr">
        <is>
          <t>80239</t>
        </is>
      </c>
      <c r="G14" t="inlineStr">
        <is>
          <t>Full service restaurant</t>
        </is>
      </c>
      <c r="H14" t="inlineStr">
        <is>
          <t>Non-combustible</t>
        </is>
      </c>
      <c r="I14" t="n">
        <v>2001</v>
      </c>
      <c r="J14" t="n">
        <v>1</v>
      </c>
      <c r="K14" s="6" t="n">
        <v>4812</v>
      </c>
      <c r="L14" t="n">
        <v>2020</v>
      </c>
      <c r="M14" t="n">
        <v>100</v>
      </c>
      <c r="N14" s="6" t="n">
        <v>1399000</v>
      </c>
      <c r="O14" s="6" t="n">
        <v>593000</v>
      </c>
      <c r="P14" s="6" t="n">
        <v>122000</v>
      </c>
      <c r="Q14" s="6" t="n">
        <v>463000</v>
      </c>
      <c r="R14" s="6" t="n">
        <v>2577000</v>
      </c>
    </row>
    <row r="15">
      <c r="A15" t="inlineStr">
        <is>
          <t>10</t>
        </is>
      </c>
      <c r="B15" t="inlineStr">
        <is>
          <t>Ember &amp; Oak #10 Phoenix</t>
        </is>
      </c>
      <c r="C15" t="inlineStr">
        <is>
          <t>6424 Kestrel Dr</t>
        </is>
      </c>
      <c r="D15" t="inlineStr">
        <is>
          <t>Phoenix</t>
        </is>
      </c>
      <c r="E15" t="inlineStr">
        <is>
          <t>AZ</t>
        </is>
      </c>
      <c r="F15" t="inlineStr">
        <is>
          <t>85019</t>
        </is>
      </c>
      <c r="G15" t="inlineStr">
        <is>
          <t>Full service restaurant</t>
        </is>
      </c>
      <c r="H15" t="inlineStr">
        <is>
          <t>Non-combustible</t>
        </is>
      </c>
      <c r="I15" t="n">
        <v>1994</v>
      </c>
      <c r="J15" t="n">
        <v>1</v>
      </c>
      <c r="K15" s="6" t="n">
        <v>7375</v>
      </c>
      <c r="L15" t="n">
        <v>2017</v>
      </c>
      <c r="M15" t="n">
        <v>0</v>
      </c>
      <c r="N15" s="6" t="n">
        <v>1001000</v>
      </c>
      <c r="O15" s="6" t="n">
        <v>431000</v>
      </c>
      <c r="P15" s="6" t="n">
        <v>99000</v>
      </c>
      <c r="Q15" s="6" t="n">
        <v>344000</v>
      </c>
      <c r="R15" s="6" t="n">
        <v>1875000</v>
      </c>
    </row>
    <row r="16">
      <c r="A16" t="inlineStr">
        <is>
          <t>11</t>
        </is>
      </c>
      <c r="B16" t="inlineStr">
        <is>
          <t>Ember &amp; Oak #11 Columbus</t>
        </is>
      </c>
      <c r="C16" t="inlineStr">
        <is>
          <t>9035 Northgate Blvd</t>
        </is>
      </c>
      <c r="D16" t="inlineStr">
        <is>
          <t>Columbus</t>
        </is>
      </c>
      <c r="E16" t="inlineStr">
        <is>
          <t>OH</t>
        </is>
      </c>
      <c r="F16" t="inlineStr">
        <is>
          <t>45463</t>
        </is>
      </c>
      <c r="G16" t="inlineStr">
        <is>
          <t>Full service restaurant</t>
        </is>
      </c>
      <c r="H16" t="inlineStr">
        <is>
          <t>Joisted masonry</t>
        </is>
      </c>
      <c r="I16" t="n">
        <v>2001</v>
      </c>
      <c r="J16" t="n">
        <v>1</v>
      </c>
      <c r="K16" s="6" t="n">
        <v>5788</v>
      </c>
      <c r="L16" t="n">
        <v>2013</v>
      </c>
      <c r="M16" t="n">
        <v>100</v>
      </c>
      <c r="N16" s="6" t="n">
        <v>1435000</v>
      </c>
      <c r="O16" s="6" t="n">
        <v>561000</v>
      </c>
      <c r="P16" s="6" t="n">
        <v>124000</v>
      </c>
      <c r="Q16" s="6" t="n">
        <v>443000</v>
      </c>
      <c r="R16" s="6" t="n">
        <v>2563000</v>
      </c>
    </row>
    <row r="17">
      <c r="A17" t="inlineStr">
        <is>
          <t>12</t>
        </is>
      </c>
      <c r="B17" t="inlineStr">
        <is>
          <t>Ember &amp; Oak #12 Austin</t>
        </is>
      </c>
      <c r="C17" t="inlineStr">
        <is>
          <t>6064 Meridian Way</t>
        </is>
      </c>
      <c r="D17" t="inlineStr">
        <is>
          <t>Austin</t>
        </is>
      </c>
      <c r="E17" t="inlineStr">
        <is>
          <t>TX</t>
        </is>
      </c>
      <c r="F17" t="inlineStr">
        <is>
          <t>75022</t>
        </is>
      </c>
      <c r="G17" t="inlineStr">
        <is>
          <t>Full service restaurant</t>
        </is>
      </c>
      <c r="H17" t="inlineStr">
        <is>
          <t>Non-combustible</t>
        </is>
      </c>
      <c r="I17" t="n">
        <v>2011</v>
      </c>
      <c r="J17" t="n">
        <v>1</v>
      </c>
      <c r="K17" s="6" t="n">
        <v>7664</v>
      </c>
      <c r="L17" t="n">
        <v>2011</v>
      </c>
      <c r="M17" t="n">
        <v>0</v>
      </c>
      <c r="N17" s="6" t="n">
        <v>1712000</v>
      </c>
      <c r="O17" s="6" t="n">
        <v>757000</v>
      </c>
      <c r="P17" s="6" t="n">
        <v>168000</v>
      </c>
      <c r="Q17" s="6" t="n">
        <v>607000</v>
      </c>
      <c r="R17" s="6" t="n">
        <v>3244000</v>
      </c>
    </row>
    <row r="18">
      <c r="A18" t="inlineStr">
        <is>
          <t>13</t>
        </is>
      </c>
      <c r="B18" t="inlineStr">
        <is>
          <t>Ember &amp; Oak #13 Dallas</t>
        </is>
      </c>
      <c r="C18" t="inlineStr">
        <is>
          <t>4456 Summit Ave</t>
        </is>
      </c>
      <c r="D18" t="inlineStr">
        <is>
          <t>Dallas</t>
        </is>
      </c>
      <c r="E18" t="inlineStr">
        <is>
          <t>TX</t>
        </is>
      </c>
      <c r="F18" t="inlineStr">
        <is>
          <t>75061</t>
        </is>
      </c>
      <c r="G18" t="inlineStr">
        <is>
          <t>Full service restaurant</t>
        </is>
      </c>
      <c r="H18" t="inlineStr">
        <is>
          <t>Non-combustible</t>
        </is>
      </c>
      <c r="I18" t="n">
        <v>2001</v>
      </c>
      <c r="J18" t="n">
        <v>1</v>
      </c>
      <c r="K18" s="6" t="n">
        <v>6897</v>
      </c>
      <c r="L18" t="n">
        <v>2019</v>
      </c>
      <c r="M18" t="n">
        <v>0</v>
      </c>
      <c r="N18" s="6" t="n">
        <v>1079000</v>
      </c>
      <c r="O18" s="6" t="n">
        <v>411000</v>
      </c>
      <c r="P18" s="6" t="n">
        <v>91000</v>
      </c>
      <c r="Q18" s="6" t="n">
        <v>341000</v>
      </c>
      <c r="R18" s="6" t="n">
        <v>1922000</v>
      </c>
    </row>
    <row r="19">
      <c r="A19" t="inlineStr">
        <is>
          <t>14</t>
        </is>
      </c>
      <c r="B19" t="inlineStr">
        <is>
          <t>Ember &amp; Oak #14 Houston</t>
        </is>
      </c>
      <c r="C19" t="inlineStr">
        <is>
          <t>8618 Granite Ct</t>
        </is>
      </c>
      <c r="D19" t="inlineStr">
        <is>
          <t>Houston</t>
        </is>
      </c>
      <c r="E19" t="inlineStr">
        <is>
          <t>TX</t>
        </is>
      </c>
      <c r="F19" t="inlineStr">
        <is>
          <t>75085</t>
        </is>
      </c>
      <c r="G19" t="inlineStr">
        <is>
          <t>Full service restaurant</t>
        </is>
      </c>
      <c r="H19" t="inlineStr">
        <is>
          <t>Non-combustible</t>
        </is>
      </c>
      <c r="I19" t="n">
        <v>2003</v>
      </c>
      <c r="J19" t="n">
        <v>1</v>
      </c>
      <c r="K19" s="6" t="n">
        <v>6494</v>
      </c>
      <c r="L19" t="n">
        <v>2016</v>
      </c>
      <c r="M19" t="n">
        <v>100</v>
      </c>
      <c r="N19" s="6" t="n">
        <v>1426000</v>
      </c>
      <c r="O19" s="6" t="n">
        <v>633000</v>
      </c>
      <c r="P19" s="6" t="n">
        <v>142000</v>
      </c>
      <c r="Q19" s="6" t="n">
        <v>474000</v>
      </c>
      <c r="R19" s="6" t="n">
        <v>2675000</v>
      </c>
    </row>
    <row r="20">
      <c r="A20" t="inlineStr">
        <is>
          <t>15</t>
        </is>
      </c>
      <c r="B20" t="inlineStr">
        <is>
          <t>Ember &amp; Oak #15 Atlanta</t>
        </is>
      </c>
      <c r="C20" t="inlineStr">
        <is>
          <t>312 Ironworks Rd</t>
        </is>
      </c>
      <c r="D20" t="inlineStr">
        <is>
          <t>Atlanta</t>
        </is>
      </c>
      <c r="E20" t="inlineStr">
        <is>
          <t>GA</t>
        </is>
      </c>
      <c r="F20" t="inlineStr">
        <is>
          <t>30382</t>
        </is>
      </c>
      <c r="G20" t="inlineStr">
        <is>
          <t>Full service restaurant</t>
        </is>
      </c>
      <c r="H20" t="inlineStr">
        <is>
          <t>Joisted masonry</t>
        </is>
      </c>
      <c r="I20" t="n">
        <v>2009</v>
      </c>
      <c r="J20" t="n">
        <v>1</v>
      </c>
      <c r="K20" s="6" t="n">
        <v>7461</v>
      </c>
      <c r="L20" t="n">
        <v>2017</v>
      </c>
      <c r="M20" t="n">
        <v>0</v>
      </c>
      <c r="N20" s="6" t="n">
        <v>1057000</v>
      </c>
      <c r="O20" s="6" t="n">
        <v>407000</v>
      </c>
      <c r="P20" s="6" t="n">
        <v>97000</v>
      </c>
      <c r="Q20" s="6" t="n">
        <v>344000</v>
      </c>
      <c r="R20" s="6" t="n">
        <v>1905000</v>
      </c>
    </row>
    <row r="21">
      <c r="A21" t="inlineStr">
        <is>
          <t>16</t>
        </is>
      </c>
      <c r="B21" t="inlineStr">
        <is>
          <t>Ember &amp; Oak #16 Nashville</t>
        </is>
      </c>
      <c r="C21" t="inlineStr">
        <is>
          <t>8153 Tidewater Ln</t>
        </is>
      </c>
      <c r="D21" t="inlineStr">
        <is>
          <t>Nashville</t>
        </is>
      </c>
      <c r="E21" t="inlineStr">
        <is>
          <t>TN</t>
        </is>
      </c>
      <c r="F21" t="inlineStr">
        <is>
          <t>37281</t>
        </is>
      </c>
      <c r="G21" t="inlineStr">
        <is>
          <t>Full service restaurant</t>
        </is>
      </c>
      <c r="H21" t="inlineStr">
        <is>
          <t>Joisted masonry</t>
        </is>
      </c>
      <c r="I21" t="n">
        <v>2016</v>
      </c>
      <c r="J21" t="n">
        <v>1</v>
      </c>
      <c r="K21" s="6" t="n">
        <v>4589</v>
      </c>
      <c r="L21" t="n">
        <v>2019</v>
      </c>
      <c r="M21" t="n">
        <v>0</v>
      </c>
      <c r="N21" s="6" t="n">
        <v>1317000</v>
      </c>
      <c r="O21" s="6" t="n">
        <v>519000</v>
      </c>
      <c r="P21" s="6" t="n">
        <v>123000</v>
      </c>
      <c r="Q21" s="6" t="n">
        <v>486000</v>
      </c>
      <c r="R21" s="6" t="n">
        <v>2445000</v>
      </c>
    </row>
    <row r="22">
      <c r="A22" t="inlineStr">
        <is>
          <t>17</t>
        </is>
      </c>
      <c r="B22" t="inlineStr">
        <is>
          <t>Ember &amp; Oak #17 Charlotte</t>
        </is>
      </c>
      <c r="C22" t="inlineStr">
        <is>
          <t>1745 Railyard Rd</t>
        </is>
      </c>
      <c r="D22" t="inlineStr">
        <is>
          <t>Charlotte</t>
        </is>
      </c>
      <c r="E22" t="inlineStr">
        <is>
          <t>NC</t>
        </is>
      </c>
      <c r="F22" t="inlineStr">
        <is>
          <t>28481</t>
        </is>
      </c>
      <c r="G22" t="inlineStr">
        <is>
          <t>Full service restaurant</t>
        </is>
      </c>
      <c r="H22" t="inlineStr">
        <is>
          <t>Joisted masonry</t>
        </is>
      </c>
      <c r="I22" t="n">
        <v>2013</v>
      </c>
      <c r="J22" t="n">
        <v>1</v>
      </c>
      <c r="K22" s="6" t="n">
        <v>5607</v>
      </c>
      <c r="L22" t="n">
        <v>2020</v>
      </c>
      <c r="M22" t="n">
        <v>100</v>
      </c>
      <c r="N22" s="6" t="n">
        <v>971000</v>
      </c>
      <c r="O22" s="6" t="n">
        <v>353000</v>
      </c>
      <c r="P22" s="6" t="n">
        <v>83000</v>
      </c>
      <c r="Q22" s="6" t="n">
        <v>282000</v>
      </c>
      <c r="R22" s="6" t="n">
        <v>1689000</v>
      </c>
    </row>
    <row r="23">
      <c r="A23" t="inlineStr">
        <is>
          <t>18</t>
        </is>
      </c>
      <c r="B23" t="inlineStr">
        <is>
          <t>Ember &amp; Oak #18 Tampa</t>
        </is>
      </c>
      <c r="C23" t="inlineStr">
        <is>
          <t>2680 Commerce Loop</t>
        </is>
      </c>
      <c r="D23" t="inlineStr">
        <is>
          <t>Tampa</t>
        </is>
      </c>
      <c r="E23" t="inlineStr">
        <is>
          <t>FL</t>
        </is>
      </c>
      <c r="F23" t="inlineStr">
        <is>
          <t>33681</t>
        </is>
      </c>
      <c r="G23" t="inlineStr">
        <is>
          <t>Full service restaurant</t>
        </is>
      </c>
      <c r="H23" t="inlineStr">
        <is>
          <t>Joisted masonry</t>
        </is>
      </c>
      <c r="I23" t="n">
        <v>1991</v>
      </c>
      <c r="J23" t="n">
        <v>1</v>
      </c>
      <c r="K23" s="6" t="n">
        <v>4916</v>
      </c>
      <c r="L23" t="n">
        <v>2014</v>
      </c>
      <c r="M23" t="n">
        <v>0</v>
      </c>
      <c r="N23" s="6" t="n">
        <v>1520000</v>
      </c>
      <c r="O23" s="6" t="n">
        <v>612000</v>
      </c>
      <c r="P23" s="6" t="n">
        <v>138000</v>
      </c>
      <c r="Q23" s="6" t="n">
        <v>523000</v>
      </c>
      <c r="R23" s="6" t="n">
        <v>2793000</v>
      </c>
    </row>
    <row r="24">
      <c r="A24" t="inlineStr">
        <is>
          <t>19</t>
        </is>
      </c>
      <c r="B24" t="inlineStr">
        <is>
          <t>Ember &amp; Oak #19 Fort Worth</t>
        </is>
      </c>
      <c r="C24" t="inlineStr">
        <is>
          <t>6996 Stonegate Pkwy</t>
        </is>
      </c>
      <c r="D24" t="inlineStr">
        <is>
          <t>Fort Worth</t>
        </is>
      </c>
      <c r="E24" t="inlineStr">
        <is>
          <t>TX</t>
        </is>
      </c>
      <c r="F24" t="inlineStr">
        <is>
          <t>75084</t>
        </is>
      </c>
      <c r="G24" t="inlineStr">
        <is>
          <t>Full service restaurant</t>
        </is>
      </c>
      <c r="H24" t="inlineStr">
        <is>
          <t>Non-combustible</t>
        </is>
      </c>
      <c r="I24" t="n">
        <v>2015</v>
      </c>
      <c r="J24" t="n">
        <v>1</v>
      </c>
      <c r="K24" s="6" t="n">
        <v>4575</v>
      </c>
      <c r="L24" t="n">
        <v>2016</v>
      </c>
      <c r="M24" t="n">
        <v>0</v>
      </c>
      <c r="N24" s="6" t="n">
        <v>1119000</v>
      </c>
      <c r="O24" s="6" t="n">
        <v>439000</v>
      </c>
      <c r="P24" s="6" t="n">
        <v>105000</v>
      </c>
      <c r="Q24" s="6" t="n">
        <v>407000</v>
      </c>
      <c r="R24" s="6" t="n">
        <v>2070000</v>
      </c>
    </row>
    <row r="25">
      <c r="A25" t="inlineStr">
        <is>
          <t>20</t>
        </is>
      </c>
      <c r="B25" t="inlineStr">
        <is>
          <t>Ember &amp; Oak #20 Denver</t>
        </is>
      </c>
      <c r="C25" t="inlineStr">
        <is>
          <t>636 Juniper Way</t>
        </is>
      </c>
      <c r="D25" t="inlineStr">
        <is>
          <t>Denver</t>
        </is>
      </c>
      <c r="E25" t="inlineStr">
        <is>
          <t>CO</t>
        </is>
      </c>
      <c r="F25" t="inlineStr">
        <is>
          <t>80294</t>
        </is>
      </c>
      <c r="G25" t="inlineStr">
        <is>
          <t>Full service restaurant</t>
        </is>
      </c>
      <c r="H25" t="inlineStr">
        <is>
          <t>Joisted masonry</t>
        </is>
      </c>
      <c r="I25" t="n">
        <v>2012</v>
      </c>
      <c r="J25" t="n">
        <v>1</v>
      </c>
      <c r="K25" s="6" t="n">
        <v>4369</v>
      </c>
      <c r="L25" t="n">
        <v>2012</v>
      </c>
      <c r="M25" t="n">
        <v>0</v>
      </c>
      <c r="N25" s="6" t="n">
        <v>1715000</v>
      </c>
      <c r="O25" s="6" t="n">
        <v>639000</v>
      </c>
      <c r="P25" s="6" t="n">
        <v>152000</v>
      </c>
      <c r="Q25" s="6" t="n">
        <v>531000</v>
      </c>
      <c r="R25" s="6" t="n">
        <v>3037000</v>
      </c>
    </row>
    <row r="26">
      <c r="A26" t="inlineStr">
        <is>
          <t>21</t>
        </is>
      </c>
      <c r="B26" t="inlineStr">
        <is>
          <t>Ember &amp; Oak #21 Phoenix</t>
        </is>
      </c>
      <c r="C26" t="inlineStr">
        <is>
          <t>5541 Ashford Cir</t>
        </is>
      </c>
      <c r="D26" t="inlineStr">
        <is>
          <t>Phoenix</t>
        </is>
      </c>
      <c r="E26" t="inlineStr">
        <is>
          <t>AZ</t>
        </is>
      </c>
      <c r="F26" t="inlineStr">
        <is>
          <t>85028</t>
        </is>
      </c>
      <c r="G26" t="inlineStr">
        <is>
          <t>Full service restaurant</t>
        </is>
      </c>
      <c r="H26" t="inlineStr">
        <is>
          <t>Joisted masonry</t>
        </is>
      </c>
      <c r="I26" t="n">
        <v>2004</v>
      </c>
      <c r="J26" t="n">
        <v>1</v>
      </c>
      <c r="K26" s="6" t="n">
        <v>4286</v>
      </c>
      <c r="L26" t="n">
        <v>2017</v>
      </c>
      <c r="M26" t="n">
        <v>100</v>
      </c>
      <c r="N26" s="6" t="n">
        <v>978000</v>
      </c>
      <c r="O26" s="6" t="n">
        <v>390000</v>
      </c>
      <c r="P26" s="6" t="n">
        <v>88000</v>
      </c>
      <c r="Q26" s="6" t="n">
        <v>301000</v>
      </c>
      <c r="R26" s="6" t="n">
        <v>1757000</v>
      </c>
    </row>
    <row r="27">
      <c r="A27" t="inlineStr">
        <is>
          <t>22</t>
        </is>
      </c>
      <c r="B27" t="inlineStr">
        <is>
          <t>Ember &amp; Oak #22 Columbus</t>
        </is>
      </c>
      <c r="C27" t="inlineStr">
        <is>
          <t>2812 Canal St E</t>
        </is>
      </c>
      <c r="D27" t="inlineStr">
        <is>
          <t>Columbus</t>
        </is>
      </c>
      <c r="E27" t="inlineStr">
        <is>
          <t>OH</t>
        </is>
      </c>
      <c r="F27" t="inlineStr">
        <is>
          <t>45425</t>
        </is>
      </c>
      <c r="G27" t="inlineStr">
        <is>
          <t>Full service restaurant</t>
        </is>
      </c>
      <c r="H27" t="inlineStr">
        <is>
          <t>Joisted masonry</t>
        </is>
      </c>
      <c r="I27" t="n">
        <v>2000</v>
      </c>
      <c r="J27" t="n">
        <v>1</v>
      </c>
      <c r="K27" s="6" t="n">
        <v>7063</v>
      </c>
      <c r="L27" t="n">
        <v>2015</v>
      </c>
      <c r="M27" t="n">
        <v>0</v>
      </c>
      <c r="N27" s="6" t="n">
        <v>1814000</v>
      </c>
      <c r="O27" s="6" t="n">
        <v>655000</v>
      </c>
      <c r="P27" s="6" t="n">
        <v>149000</v>
      </c>
      <c r="Q27" s="6" t="n">
        <v>590000</v>
      </c>
      <c r="R27" s="6" t="n">
        <v>3208000</v>
      </c>
    </row>
    <row r="28">
      <c r="A28" s="7" t="inlineStr">
        <is>
          <t>TOTAL</t>
        </is>
      </c>
      <c r="N28" s="8">
        <f>SUM(N6:N27)</f>
        <v/>
      </c>
      <c r="O28" s="8">
        <f>SUM(O6:O27)</f>
        <v/>
      </c>
      <c r="P28" s="8">
        <f>SUM(P6:P27)</f>
        <v/>
      </c>
      <c r="Q28" s="8">
        <f>SUM(Q6:Q27)</f>
        <v/>
      </c>
      <c r="R28" s="8">
        <f>SUM(R6:R27)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